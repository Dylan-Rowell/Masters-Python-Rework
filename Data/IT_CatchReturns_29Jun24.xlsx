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02642\Documents\Data\Inshore trawl bycatch\CatchReturns\"/>
    </mc:Choice>
  </mc:AlternateContent>
  <xr:revisionPtr revIDLastSave="0" documentId="13_ncr:1_{6F6B5CE6-D229-4478-B397-D215CC1D2A7F}" xr6:coauthVersionLast="47" xr6:coauthVersionMax="47" xr10:uidLastSave="{00000000-0000-0000-0000-000000000000}"/>
  <bookViews>
    <workbookView xWindow="-108" yWindow="-108" windowWidth="23256" windowHeight="14016" activeTab="1" xr2:uid="{97DBFE1B-0653-4F95-B5F3-754B678EA369}"/>
  </bookViews>
  <sheets>
    <sheet name="TripReturns" sheetId="1" r:id="rId1"/>
    <sheet name="Pivot" sheetId="3" r:id="rId2"/>
    <sheet name="ErrorCodes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45" i="1" l="1"/>
  <c r="AK436" i="1"/>
  <c r="AK437" i="1"/>
  <c r="AK438" i="1"/>
  <c r="AK439" i="1"/>
  <c r="AK440" i="1"/>
  <c r="AK441" i="1"/>
  <c r="AK442" i="1"/>
  <c r="AK443" i="1"/>
  <c r="AK44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404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379" i="1"/>
  <c r="AK378" i="1"/>
  <c r="AB374" i="1"/>
  <c r="AB373" i="1"/>
  <c r="AB372" i="1"/>
  <c r="Z372" i="1"/>
  <c r="AB371" i="1"/>
  <c r="Z371" i="1"/>
  <c r="AB370" i="1"/>
  <c r="Z370" i="1"/>
  <c r="AB369" i="1"/>
  <c r="AK368" i="1"/>
  <c r="AB368" i="1"/>
  <c r="AB367" i="1"/>
  <c r="Z367" i="1"/>
  <c r="AB366" i="1"/>
  <c r="Z366" i="1"/>
  <c r="AB364" i="1"/>
  <c r="AB363" i="1"/>
  <c r="AB362" i="1"/>
  <c r="AB355" i="1"/>
  <c r="AK353" i="1"/>
  <c r="AB354" i="1"/>
  <c r="Z354" i="1"/>
  <c r="AK352" i="1"/>
  <c r="AB348" i="1"/>
  <c r="AB347" i="1"/>
  <c r="Z347" i="1"/>
  <c r="AB346" i="1"/>
  <c r="AB345" i="1"/>
  <c r="AB344" i="1"/>
  <c r="Z344" i="1"/>
  <c r="AB342" i="1"/>
  <c r="Z342" i="1"/>
  <c r="AB341" i="1"/>
  <c r="Z341" i="1"/>
  <c r="AB340" i="1"/>
  <c r="Z340" i="1"/>
  <c r="AB339" i="1"/>
  <c r="Z339" i="1"/>
  <c r="AB332" i="1"/>
  <c r="Z332" i="1"/>
  <c r="AK331" i="1"/>
  <c r="AB331" i="1"/>
  <c r="Z331" i="1"/>
  <c r="AB330" i="1"/>
  <c r="AK341" i="1"/>
  <c r="AK342" i="1"/>
  <c r="AK343" i="1"/>
  <c r="AK344" i="1"/>
  <c r="AK345" i="1"/>
  <c r="AK346" i="1"/>
  <c r="AK347" i="1"/>
  <c r="AK348" i="1"/>
  <c r="AK349" i="1"/>
  <c r="AK350" i="1"/>
  <c r="AK351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9" i="1"/>
  <c r="AK370" i="1"/>
  <c r="AK371" i="1"/>
  <c r="AK372" i="1"/>
  <c r="AK373" i="1"/>
  <c r="AK374" i="1"/>
  <c r="AK375" i="1"/>
  <c r="AK376" i="1"/>
  <c r="AK377" i="1"/>
  <c r="AK329" i="1"/>
  <c r="AK330" i="1"/>
  <c r="AK332" i="1"/>
  <c r="AK333" i="1"/>
  <c r="AK334" i="1"/>
  <c r="AK335" i="1"/>
  <c r="AK336" i="1"/>
  <c r="AK337" i="1"/>
  <c r="AK338" i="1"/>
  <c r="AK339" i="1"/>
  <c r="AK340" i="1"/>
  <c r="AB327" i="1"/>
  <c r="AB326" i="1"/>
  <c r="AB325" i="1"/>
  <c r="AB324" i="1"/>
  <c r="Z324" i="1"/>
  <c r="AB323" i="1"/>
  <c r="Z323" i="1"/>
  <c r="AB322" i="1"/>
  <c r="Z322" i="1"/>
  <c r="AB321" i="1"/>
  <c r="Z321" i="1"/>
  <c r="AB320" i="1"/>
  <c r="Z320" i="1"/>
  <c r="AB319" i="1"/>
  <c r="AB318" i="1"/>
  <c r="Z318" i="1"/>
  <c r="AB317" i="1"/>
  <c r="Z317" i="1"/>
  <c r="AB316" i="1"/>
  <c r="Z316" i="1"/>
  <c r="AK315" i="1"/>
  <c r="AB315" i="1"/>
  <c r="Z315" i="1"/>
  <c r="AB314" i="1"/>
  <c r="Z314" i="1"/>
  <c r="AB313" i="1"/>
  <c r="AB310" i="1"/>
  <c r="AB309" i="1"/>
  <c r="Z309" i="1"/>
  <c r="AB308" i="1"/>
  <c r="Z308" i="1"/>
  <c r="AK307" i="1"/>
  <c r="AK308" i="1"/>
  <c r="AK309" i="1"/>
  <c r="AK310" i="1"/>
  <c r="AK311" i="1"/>
  <c r="AK312" i="1"/>
  <c r="AK313" i="1"/>
  <c r="AK314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B307" i="1"/>
  <c r="Z307" i="1"/>
  <c r="AK306" i="1"/>
  <c r="AK305" i="1"/>
  <c r="AK304" i="1"/>
  <c r="AK303" i="1"/>
  <c r="AK302" i="1"/>
  <c r="AK301" i="1"/>
  <c r="AK300" i="1"/>
  <c r="AB298" i="1"/>
  <c r="Z298" i="1"/>
  <c r="AB297" i="1"/>
  <c r="Z297" i="1"/>
  <c r="AB296" i="1"/>
  <c r="Z296" i="1"/>
  <c r="AB295" i="1"/>
  <c r="Z295" i="1"/>
  <c r="AB294" i="1"/>
  <c r="Z294" i="1"/>
  <c r="AB293" i="1"/>
  <c r="Z293" i="1"/>
  <c r="AK293" i="1" s="1"/>
  <c r="AB292" i="1"/>
  <c r="Z292" i="1"/>
  <c r="AB291" i="1"/>
  <c r="AB290" i="1"/>
  <c r="Z290" i="1"/>
  <c r="AB289" i="1"/>
  <c r="Z289" i="1"/>
  <c r="AB288" i="1"/>
  <c r="Z288" i="1"/>
  <c r="AB287" i="1"/>
  <c r="Z287" i="1"/>
  <c r="AB286" i="1"/>
  <c r="Z286" i="1"/>
  <c r="AB285" i="1"/>
  <c r="Z285" i="1"/>
  <c r="AB284" i="1"/>
  <c r="Z284" i="1"/>
  <c r="AC283" i="1"/>
  <c r="AC282" i="1"/>
  <c r="AC281" i="1"/>
  <c r="AC280" i="1"/>
  <c r="AB261" i="1"/>
  <c r="AB259" i="1"/>
  <c r="AB257" i="1"/>
  <c r="AK257" i="1" s="1"/>
  <c r="AB255" i="1"/>
  <c r="AK255" i="1" s="1"/>
  <c r="AB252" i="1"/>
  <c r="Z252" i="1"/>
  <c r="AK244" i="1"/>
  <c r="AK245" i="1"/>
  <c r="AK246" i="1"/>
  <c r="AK247" i="1"/>
  <c r="AK248" i="1"/>
  <c r="AK249" i="1"/>
  <c r="AK250" i="1"/>
  <c r="AK251" i="1"/>
  <c r="AK254" i="1"/>
  <c r="AK256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4" i="1"/>
  <c r="AK295" i="1"/>
  <c r="AK296" i="1"/>
  <c r="AK297" i="1"/>
  <c r="AK298" i="1"/>
  <c r="AK299" i="1"/>
  <c r="AK253" i="1"/>
  <c r="AK243" i="1"/>
  <c r="AK233" i="1"/>
  <c r="AK234" i="1"/>
  <c r="AK235" i="1"/>
  <c r="AK236" i="1"/>
  <c r="AK237" i="1"/>
  <c r="AK238" i="1"/>
  <c r="AK239" i="1"/>
  <c r="AK240" i="1"/>
  <c r="AK241" i="1"/>
  <c r="AK242" i="1"/>
  <c r="AK229" i="1"/>
  <c r="AK230" i="1"/>
  <c r="AK231" i="1"/>
  <c r="AK232" i="1"/>
  <c r="AK222" i="1"/>
  <c r="AK223" i="1"/>
  <c r="AK224" i="1"/>
  <c r="AK225" i="1"/>
  <c r="AK226" i="1"/>
  <c r="AK227" i="1"/>
  <c r="AK228" i="1"/>
  <c r="AK216" i="1"/>
  <c r="AK217" i="1"/>
  <c r="AK218" i="1"/>
  <c r="AK219" i="1"/>
  <c r="AK215" i="1"/>
  <c r="AK214" i="1"/>
  <c r="AK212" i="1"/>
  <c r="AK213" i="1"/>
  <c r="AB207" i="1"/>
  <c r="AB203" i="1"/>
  <c r="AK203" i="1" s="1"/>
  <c r="AK207" i="1"/>
  <c r="AK208" i="1"/>
  <c r="AK209" i="1"/>
  <c r="AK210" i="1"/>
  <c r="AK211" i="1"/>
  <c r="AK220" i="1"/>
  <c r="AK221" i="1"/>
  <c r="AB201" i="1"/>
  <c r="Z201" i="1"/>
  <c r="AB198" i="1"/>
  <c r="AK198" i="1" s="1"/>
  <c r="AB193" i="1"/>
  <c r="AK193" i="1" s="1"/>
  <c r="AK196" i="1"/>
  <c r="AK197" i="1"/>
  <c r="AK199" i="1"/>
  <c r="AK200" i="1"/>
  <c r="AK201" i="1"/>
  <c r="AK202" i="1"/>
  <c r="AK204" i="1"/>
  <c r="AK205" i="1"/>
  <c r="AK206" i="1"/>
  <c r="AB191" i="1"/>
  <c r="Z191" i="1"/>
  <c r="AB187" i="1"/>
  <c r="Z187" i="1"/>
  <c r="AB184" i="1"/>
  <c r="AK184" i="1" s="1"/>
  <c r="AK183" i="1"/>
  <c r="AK185" i="1"/>
  <c r="AK186" i="1"/>
  <c r="AK188" i="1"/>
  <c r="AK189" i="1"/>
  <c r="AK190" i="1"/>
  <c r="AK192" i="1"/>
  <c r="AK194" i="1"/>
  <c r="AK195" i="1"/>
  <c r="AB182" i="1"/>
  <c r="Z182" i="1"/>
  <c r="AK182" i="1" s="1"/>
  <c r="AB176" i="1"/>
  <c r="AK176" i="1" s="1"/>
  <c r="AB174" i="1"/>
  <c r="AK174" i="1" s="1"/>
  <c r="AB173" i="1"/>
  <c r="Z173" i="1"/>
  <c r="AB167" i="1"/>
  <c r="AK167" i="1" s="1"/>
  <c r="AK159" i="1"/>
  <c r="AK160" i="1"/>
  <c r="AK161" i="1"/>
  <c r="AK162" i="1"/>
  <c r="AK163" i="1"/>
  <c r="AK164" i="1"/>
  <c r="AK165" i="1"/>
  <c r="AK166" i="1"/>
  <c r="AK168" i="1"/>
  <c r="AK169" i="1"/>
  <c r="AK170" i="1"/>
  <c r="AK171" i="1"/>
  <c r="AK172" i="1"/>
  <c r="AK173" i="1"/>
  <c r="AK175" i="1"/>
  <c r="AK177" i="1"/>
  <c r="AK178" i="1"/>
  <c r="AK179" i="1"/>
  <c r="AK180" i="1"/>
  <c r="AK181" i="1"/>
  <c r="AB158" i="1"/>
  <c r="Z158" i="1"/>
  <c r="AB156" i="1"/>
  <c r="Z156" i="1"/>
  <c r="AK151" i="1"/>
  <c r="AK152" i="1"/>
  <c r="AK153" i="1"/>
  <c r="AK154" i="1"/>
  <c r="AK155" i="1"/>
  <c r="AK157" i="1"/>
  <c r="AK158" i="1"/>
  <c r="AB148" i="1"/>
  <c r="AK148" i="1" s="1"/>
  <c r="AB147" i="1"/>
  <c r="AK147" i="1" s="1"/>
  <c r="AB146" i="1"/>
  <c r="Z146" i="1"/>
  <c r="AB145" i="1"/>
  <c r="AK145" i="1" s="1"/>
  <c r="AB143" i="1"/>
  <c r="AB142" i="1"/>
  <c r="Z142" i="1"/>
  <c r="AK142" i="1" s="1"/>
  <c r="AB141" i="1"/>
  <c r="AK141" i="1" s="1"/>
  <c r="AB140" i="1"/>
  <c r="Z140" i="1"/>
  <c r="AK143" i="1"/>
  <c r="AK144" i="1"/>
  <c r="AK149" i="1"/>
  <c r="AK150" i="1"/>
  <c r="AB139" i="1"/>
  <c r="Z139" i="1"/>
  <c r="AK139" i="1" s="1"/>
  <c r="AK138" i="1"/>
  <c r="AB138" i="1"/>
  <c r="AB137" i="1"/>
  <c r="AK137" i="1" s="1"/>
  <c r="AB136" i="1"/>
  <c r="AK136" i="1" s="1"/>
  <c r="AB135" i="1"/>
  <c r="Z135" i="1"/>
  <c r="AB134" i="1"/>
  <c r="Z134" i="1"/>
  <c r="AB133" i="1"/>
  <c r="Z133" i="1"/>
  <c r="AB132" i="1"/>
  <c r="Z132" i="1"/>
  <c r="AK132" i="1" s="1"/>
  <c r="AB131" i="1"/>
  <c r="AK131" i="1" s="1"/>
  <c r="AB130" i="1"/>
  <c r="AK130" i="1" s="1"/>
  <c r="AB129" i="1"/>
  <c r="Z129" i="1"/>
  <c r="AB128" i="1"/>
  <c r="Z128" i="1"/>
  <c r="AB127" i="1"/>
  <c r="Z127" i="1"/>
  <c r="AB126" i="1"/>
  <c r="Z126" i="1"/>
  <c r="AK126" i="1" s="1"/>
  <c r="AB125" i="1"/>
  <c r="AK125" i="1" s="1"/>
  <c r="AK124" i="1"/>
  <c r="AK123" i="1"/>
  <c r="AK122" i="1"/>
  <c r="AK118" i="1"/>
  <c r="AK117" i="1"/>
  <c r="AB116" i="1"/>
  <c r="Z116" i="1"/>
  <c r="AK119" i="1"/>
  <c r="AK120" i="1"/>
  <c r="AK121" i="1"/>
  <c r="AB115" i="1"/>
  <c r="Z115" i="1"/>
  <c r="AK115" i="1" s="1"/>
  <c r="AB114" i="1"/>
  <c r="Z114" i="1"/>
  <c r="AB113" i="1"/>
  <c r="AK113" i="1" s="1"/>
  <c r="AB112" i="1"/>
  <c r="AK112" i="1" s="1"/>
  <c r="AB111" i="1"/>
  <c r="AK111" i="1" s="1"/>
  <c r="AB110" i="1"/>
  <c r="Z110" i="1"/>
  <c r="AB109" i="1"/>
  <c r="AK109" i="1" s="1"/>
  <c r="AB108" i="1"/>
  <c r="Z108" i="1"/>
  <c r="AB107" i="1"/>
  <c r="Z107" i="1"/>
  <c r="AB106" i="1"/>
  <c r="Z106" i="1"/>
  <c r="AB105" i="1"/>
  <c r="Z105" i="1"/>
  <c r="AB104" i="1"/>
  <c r="Z104" i="1"/>
  <c r="AB103" i="1"/>
  <c r="AK103" i="1" s="1"/>
  <c r="AB102" i="1"/>
  <c r="AK102" i="1" s="1"/>
  <c r="AB101" i="1"/>
  <c r="Z101" i="1"/>
  <c r="AK101" i="1" s="1"/>
  <c r="AB100" i="1"/>
  <c r="Z100" i="1"/>
  <c r="AB99" i="1"/>
  <c r="AK99" i="1" s="1"/>
  <c r="AB98" i="1"/>
  <c r="Z98" i="1"/>
  <c r="AK98" i="1" s="1"/>
  <c r="AB97" i="1"/>
  <c r="AK97" i="1" s="1"/>
  <c r="AK96" i="1"/>
  <c r="AK95" i="1"/>
  <c r="AK92" i="1"/>
  <c r="AK93" i="1"/>
  <c r="AK94" i="1"/>
  <c r="AK91" i="1"/>
  <c r="AB87" i="1"/>
  <c r="AB86" i="1"/>
  <c r="AB85" i="1"/>
  <c r="AK85" i="1" s="1"/>
  <c r="AB84" i="1"/>
  <c r="Z84" i="1"/>
  <c r="AB83" i="1"/>
  <c r="Z83" i="1"/>
  <c r="AB82" i="1"/>
  <c r="AB81" i="1"/>
  <c r="AK81" i="1" s="1"/>
  <c r="AB80" i="1"/>
  <c r="Z80" i="1"/>
  <c r="AK80" i="1" s="1"/>
  <c r="AB79" i="1"/>
  <c r="AK79" i="1" s="1"/>
  <c r="AB78" i="1"/>
  <c r="AK78" i="1" s="1"/>
  <c r="AB77" i="1"/>
  <c r="Z77" i="1"/>
  <c r="AK82" i="1"/>
  <c r="AK86" i="1"/>
  <c r="AK87" i="1"/>
  <c r="AK88" i="1"/>
  <c r="AK89" i="1"/>
  <c r="AK90" i="1"/>
  <c r="AB76" i="1"/>
  <c r="Z76" i="1"/>
  <c r="AB75" i="1"/>
  <c r="Z75" i="1"/>
  <c r="AB74" i="1"/>
  <c r="Z74" i="1"/>
  <c r="AB73" i="1"/>
  <c r="Z73" i="1"/>
  <c r="AB72" i="1"/>
  <c r="Z72" i="1"/>
  <c r="AB71" i="1"/>
  <c r="AK668" i="1" l="1"/>
  <c r="AK354" i="1"/>
  <c r="AK110" i="1"/>
  <c r="AK128" i="1"/>
  <c r="AK133" i="1"/>
  <c r="AK140" i="1"/>
  <c r="AK146" i="1"/>
  <c r="AK104" i="1"/>
  <c r="AK108" i="1"/>
  <c r="AK127" i="1"/>
  <c r="AK135" i="1"/>
  <c r="AK156" i="1"/>
  <c r="AK252" i="1"/>
  <c r="AK83" i="1"/>
  <c r="AK100" i="1"/>
  <c r="AK134" i="1"/>
  <c r="AK106" i="1"/>
  <c r="AK187" i="1"/>
  <c r="AK107" i="1"/>
  <c r="AK129" i="1"/>
  <c r="AK191" i="1"/>
  <c r="AK84" i="1"/>
  <c r="AK105" i="1"/>
  <c r="AK114" i="1"/>
  <c r="AK116" i="1"/>
  <c r="AB70" i="1"/>
  <c r="Z70" i="1"/>
  <c r="AB69" i="1"/>
  <c r="AB67" i="1"/>
  <c r="AK67" i="1" s="1"/>
  <c r="AB64" i="1"/>
  <c r="AB63" i="1"/>
  <c r="AK63" i="1" s="1"/>
  <c r="AB60" i="1"/>
  <c r="Z60" i="1"/>
  <c r="AK60" i="1" s="1"/>
  <c r="AB59" i="1"/>
  <c r="AK59" i="1" s="1"/>
  <c r="AB58" i="1"/>
  <c r="Z58" i="1"/>
  <c r="AK61" i="1"/>
  <c r="AK62" i="1"/>
  <c r="AK64" i="1"/>
  <c r="AK65" i="1"/>
  <c r="AK66" i="1"/>
  <c r="AK68" i="1"/>
  <c r="AK69" i="1"/>
  <c r="AK71" i="1"/>
  <c r="AK72" i="1"/>
  <c r="AK73" i="1"/>
  <c r="AK74" i="1"/>
  <c r="AK75" i="1"/>
  <c r="AK76" i="1"/>
  <c r="AK77" i="1"/>
  <c r="AB57" i="1"/>
  <c r="AK57" i="1" s="1"/>
  <c r="Z57" i="1"/>
  <c r="AK56" i="1"/>
  <c r="AK55" i="1"/>
  <c r="AK54" i="1"/>
  <c r="AK53" i="1"/>
  <c r="AK52" i="1"/>
  <c r="AB48" i="1"/>
  <c r="AK48" i="1" s="1"/>
  <c r="AK40" i="1"/>
  <c r="AK41" i="1"/>
  <c r="AK42" i="1"/>
  <c r="AK43" i="1"/>
  <c r="AK44" i="1"/>
  <c r="AK45" i="1"/>
  <c r="AK46" i="1"/>
  <c r="AK47" i="1"/>
  <c r="AK49" i="1"/>
  <c r="AK50" i="1"/>
  <c r="AK51" i="1"/>
  <c r="AK39" i="1"/>
  <c r="AK2" i="1"/>
  <c r="AK4" i="1"/>
  <c r="AK5" i="1"/>
  <c r="AK6" i="1"/>
  <c r="AK19" i="1"/>
  <c r="AB32" i="1"/>
  <c r="V32" i="1"/>
  <c r="R32" i="1"/>
  <c r="AK32" i="1" s="1"/>
  <c r="AB38" i="1"/>
  <c r="AK38" i="1" s="1"/>
  <c r="AB37" i="1"/>
  <c r="Z37" i="1"/>
  <c r="AB36" i="1"/>
  <c r="Z36" i="1"/>
  <c r="AB35" i="1"/>
  <c r="AK35" i="1" s="1"/>
  <c r="AB34" i="1"/>
  <c r="Z34" i="1"/>
  <c r="AB33" i="1"/>
  <c r="AK33" i="1" s="1"/>
  <c r="AB31" i="1"/>
  <c r="Z31" i="1"/>
  <c r="AB30" i="1"/>
  <c r="Z30" i="1"/>
  <c r="AB29" i="1"/>
  <c r="AK29" i="1" s="1"/>
  <c r="AB28" i="1"/>
  <c r="Z28" i="1"/>
  <c r="AB27" i="1"/>
  <c r="Z27" i="1"/>
  <c r="AB26" i="1"/>
  <c r="Z26" i="1"/>
  <c r="AB25" i="1"/>
  <c r="Z25" i="1"/>
  <c r="AB24" i="1"/>
  <c r="AK24" i="1" s="1"/>
  <c r="AB23" i="1"/>
  <c r="AK23" i="1" s="1"/>
  <c r="AB22" i="1"/>
  <c r="AK22" i="1" s="1"/>
  <c r="AB21" i="1"/>
  <c r="Z21" i="1"/>
  <c r="AB20" i="1"/>
  <c r="Z20" i="1"/>
  <c r="AB18" i="1"/>
  <c r="Z18" i="1"/>
  <c r="AB17" i="1"/>
  <c r="AK17" i="1" s="1"/>
  <c r="AB16" i="1"/>
  <c r="AK16" i="1" s="1"/>
  <c r="AB15" i="1"/>
  <c r="AK15" i="1" s="1"/>
  <c r="AB14" i="1"/>
  <c r="Z14" i="1"/>
  <c r="AK14" i="1" s="1"/>
  <c r="AB13" i="1"/>
  <c r="AK13" i="1" s="1"/>
  <c r="AB12" i="1"/>
  <c r="AK12" i="1" s="1"/>
  <c r="AB11" i="1"/>
  <c r="AK11" i="1" s="1"/>
  <c r="AB10" i="1"/>
  <c r="AK10" i="1" s="1"/>
  <c r="AB9" i="1"/>
  <c r="Z9" i="1"/>
  <c r="AK9" i="1" s="1"/>
  <c r="AB8" i="1"/>
  <c r="AK8" i="1" s="1"/>
  <c r="AB7" i="1"/>
  <c r="AK7" i="1" s="1"/>
  <c r="AB3" i="1"/>
  <c r="AK3" i="1" s="1"/>
  <c r="AK26" i="1" l="1"/>
  <c r="AK25" i="1"/>
  <c r="AK21" i="1"/>
  <c r="AK31" i="1"/>
  <c r="AK37" i="1"/>
  <c r="AK58" i="1"/>
  <c r="AK27" i="1"/>
  <c r="AK28" i="1"/>
  <c r="AK34" i="1"/>
  <c r="AK18" i="1"/>
  <c r="AK70" i="1"/>
  <c r="AK20" i="1"/>
  <c r="AK30" i="1"/>
  <c r="AK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tc={0372DA15-E9F8-49BA-A2F9-136E382585BB}</author>
    <author>tc={F7EC86C9-A42A-4A92-9EC4-71ABF539AD29}</author>
  </authors>
  <commentList>
    <comment ref="Z1" authorId="0" shapeId="0" xr:uid="{0372DA15-E9F8-49BA-A2F9-136E382585BB}">
      <text>
        <t>[Threaded comment]
Your version of Excel allows you to read this threaded comment; however, any edits to it will get removed if the file is opened in a newer version of Excel. Learn more: https://go.microsoft.com/fwlink/?linkid=870924
Comment:
    RF 2.59</t>
      </text>
    </comment>
    <comment ref="AB1" authorId="1" shapeId="0" xr:uid="{F7EC86C9-A42A-4A92-9EC4-71ABF539AD29}">
      <text>
        <t>[Threaded comment]
Your version of Excel allows you to read this threaded comment; however, any edits to it will get removed if the file is opened in a newer version of Excel. Learn more: https://go.microsoft.com/fwlink/?linkid=870924
Comment:
    RF 2.59</t>
      </text>
    </comment>
  </commentList>
</comments>
</file>

<file path=xl/sharedStrings.xml><?xml version="1.0" encoding="utf-8"?>
<sst xmlns="http://schemas.openxmlformats.org/spreadsheetml/2006/main" count="1145" uniqueCount="124">
  <si>
    <t>Vessel</t>
  </si>
  <si>
    <t>Datasheet ID</t>
  </si>
  <si>
    <t>Sailing date</t>
  </si>
  <si>
    <t>Landing date</t>
  </si>
  <si>
    <t>Lindiwe</t>
  </si>
  <si>
    <t>Permit</t>
  </si>
  <si>
    <t>Rights holder</t>
  </si>
  <si>
    <t>Sea Vuna Fishing</t>
  </si>
  <si>
    <t>Squid</t>
  </si>
  <si>
    <t>East coast sole</t>
  </si>
  <si>
    <t>Hake</t>
  </si>
  <si>
    <t>Kingklip</t>
  </si>
  <si>
    <t>Horse mackerel</t>
  </si>
  <si>
    <t>Monk</t>
  </si>
  <si>
    <t>Ribbonfish</t>
  </si>
  <si>
    <t>Snoek</t>
  </si>
  <si>
    <t>Jacopever</t>
  </si>
  <si>
    <t>Alfonsino</t>
  </si>
  <si>
    <t>Skate</t>
  </si>
  <si>
    <t>Cape dory</t>
  </si>
  <si>
    <t>Chubb mackerel</t>
  </si>
  <si>
    <t>Angel</t>
  </si>
  <si>
    <t>Gurnard</t>
  </si>
  <si>
    <t>Kabeljou</t>
  </si>
  <si>
    <t>Red mullet</t>
  </si>
  <si>
    <t>Vaalhaai</t>
  </si>
  <si>
    <t>Mustelus</t>
  </si>
  <si>
    <t>St Joseph</t>
  </si>
  <si>
    <t>Octopus</t>
  </si>
  <si>
    <t>Carpenter</t>
  </si>
  <si>
    <t>White stumpnose</t>
  </si>
  <si>
    <t>Red stumpnose</t>
  </si>
  <si>
    <t>Baardman</t>
  </si>
  <si>
    <t>Biskop</t>
  </si>
  <si>
    <t>File</t>
  </si>
  <si>
    <t>Lindiwe(1)14June2023</t>
  </si>
  <si>
    <t>Penhaai</t>
  </si>
  <si>
    <t>Panga</t>
  </si>
  <si>
    <t>Ezabantu</t>
  </si>
  <si>
    <t>Leeukop</t>
  </si>
  <si>
    <t>Southern Peninsula Trawling</t>
  </si>
  <si>
    <t>Error on data sheet, corrected in spreadsheet</t>
  </si>
  <si>
    <t>Error on spreadsheet, not yet corrected</t>
  </si>
  <si>
    <t>Boloko Trading</t>
  </si>
  <si>
    <t>Missing data</t>
  </si>
  <si>
    <t>Cape Fish Processors</t>
  </si>
  <si>
    <t>Leeukop14June2023</t>
  </si>
  <si>
    <t>Row Labels</t>
  </si>
  <si>
    <t>Grand Total</t>
  </si>
  <si>
    <t>Jan</t>
  </si>
  <si>
    <t>Feb</t>
  </si>
  <si>
    <t>Mar</t>
  </si>
  <si>
    <t>Apr</t>
  </si>
  <si>
    <t>May</t>
  </si>
  <si>
    <t>Sum of Squid</t>
  </si>
  <si>
    <t>Sum of East coast sole</t>
  </si>
  <si>
    <t>Sum of Hake</t>
  </si>
  <si>
    <t>Sum of Kingklip</t>
  </si>
  <si>
    <t>Sum of Horse mackerel</t>
  </si>
  <si>
    <t>Sum of Monk</t>
  </si>
  <si>
    <t>Sum of Skate</t>
  </si>
  <si>
    <t>Sum of Gurnard</t>
  </si>
  <si>
    <t>Sum of Kabeljou</t>
  </si>
  <si>
    <t>Sum of Panga</t>
  </si>
  <si>
    <t>Sum of Vaalhaai</t>
  </si>
  <si>
    <t>Sum of Mustelus</t>
  </si>
  <si>
    <t>Sum of St Joseph</t>
  </si>
  <si>
    <t>Sum of Carpenter</t>
  </si>
  <si>
    <t>Sum of White stumpnose</t>
  </si>
  <si>
    <t>Sum</t>
  </si>
  <si>
    <t>Amsteldiep14June2023</t>
  </si>
  <si>
    <t>Amsteldiep</t>
  </si>
  <si>
    <t>Full Deck</t>
  </si>
  <si>
    <t>VunaChristelle14June2023</t>
  </si>
  <si>
    <t>Christelle</t>
  </si>
  <si>
    <t>Southern Cape Peninsula</t>
  </si>
  <si>
    <t>Kalmia Trading</t>
  </si>
  <si>
    <t>VunaImbongi14June2023</t>
  </si>
  <si>
    <t>Vuna Imbongi</t>
  </si>
  <si>
    <t>Vuna Elita</t>
  </si>
  <si>
    <t>VunaElita14June2023</t>
  </si>
  <si>
    <t>Zimele Fishing Enterprises</t>
  </si>
  <si>
    <t>VunaLiesa14June2023</t>
  </si>
  <si>
    <t>Vuna Liesa</t>
  </si>
  <si>
    <t>Portunity</t>
  </si>
  <si>
    <t>PortunityJune2023(2)</t>
  </si>
  <si>
    <t>PortunityJune2023(1)</t>
  </si>
  <si>
    <t>PortunityJantoJune2023</t>
  </si>
  <si>
    <t>Sea Harvest Corporation</t>
  </si>
  <si>
    <t>Illegible</t>
  </si>
  <si>
    <t>Leonora14June2023</t>
  </si>
  <si>
    <t>Leonora</t>
  </si>
  <si>
    <t>LadyImeldaJantoMay2023</t>
  </si>
  <si>
    <t>Lady Imelda</t>
  </si>
  <si>
    <t>?</t>
  </si>
  <si>
    <t>SistersJantoJune2023</t>
  </si>
  <si>
    <t>Sisters</t>
  </si>
  <si>
    <t>Sisters13-18July</t>
  </si>
  <si>
    <t>Sisters19-26July</t>
  </si>
  <si>
    <t>Alayah</t>
  </si>
  <si>
    <t>Ulwandle Inshore (PTY) LTD</t>
  </si>
  <si>
    <t>E.M.C</t>
  </si>
  <si>
    <t>U.K.I</t>
  </si>
  <si>
    <t>Elke M</t>
  </si>
  <si>
    <t>Capenis Investments</t>
  </si>
  <si>
    <t>Namutoni</t>
  </si>
  <si>
    <t>Chettys Fisheries cc</t>
  </si>
  <si>
    <t>Mayibuye Fishing</t>
  </si>
  <si>
    <t>Atlantis</t>
  </si>
  <si>
    <t>Ocean Prince</t>
  </si>
  <si>
    <t>Vecto trade</t>
  </si>
  <si>
    <t>Seeheim</t>
  </si>
  <si>
    <t>Unspecified Shark Species</t>
  </si>
  <si>
    <t>Shark Coefficient</t>
  </si>
  <si>
    <t>Teya-Nikka</t>
  </si>
  <si>
    <t>2023</t>
  </si>
  <si>
    <t>2024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</si>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</sst>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0" fontId="0" fillId="5" borderId="0" xfId="0" applyFill="1"/>
    <xf numFmtId="164" fontId="0" fillId="3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0" fontId="0" fillId="8" borderId="0" xfId="0" applyFill="1"/>
    <xf numFmtId="0" fontId="3" fillId="0" borderId="0" xfId="0" applyFont="1"/>
    <xf numFmtId="0" fontId="0" fillId="0" borderId="0" xfId="0" quotePrefix="1"/>
    <xf numFmtId="1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586740</xdr:colOff>
      <xdr:row>164</xdr:row>
      <xdr:rowOff>129540</xdr:rowOff>
    </xdr:from>
    <xdr:to>
      <xdr:col>26</xdr:col>
      <xdr:colOff>495300</xdr:colOff>
      <xdr:row>171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3BBEC2-D68F-051E-70AA-AA739AB1ACA1}"/>
            </a:ext>
          </a:extLst>
        </xdr:cNvPr>
        <xdr:cNvSpPr txBox="1"/>
      </xdr:nvSpPr>
      <xdr:spPr>
        <a:xfrm>
          <a:off x="19179540" y="30121860"/>
          <a:ext cx="1127760" cy="128016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2.59 shark coefficient has changed to 1.51. Not sure</a:t>
          </a:r>
          <a:r>
            <a:rPr lang="en-ZA" sz="1100" baseline="0"/>
            <a:t> when this happened</a:t>
          </a:r>
          <a:endParaRPr lang="en-ZA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lin Attwood" id="{F9CCEF71-3F68-4EF5-ACB6-1B2862705AFD}" userId="S::01402642@wf.uct.ac.za::a7ebbcae-8888-42db-86ee-6462758d4af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in Attwood" refreshedDate="45531.66291712963" createdVersion="8" refreshedVersion="8" minRefreshableVersion="3" recordCount="450" xr:uid="{382F1D76-6537-4000-BF49-E4329BCAF2F2}">
  <cacheSource type="worksheet">
    <worksheetSource ref="A1:AJ451" sheet="TripReturns"/>
  </cacheSource>
  <cacheFields count="38">
    <cacheField name="Datasheet ID" numFmtId="0">
      <sharedItems containsSemiMixedTypes="0" containsString="0" containsNumber="1" containsInteger="1" minValue="2" maxValue="1007"/>
    </cacheField>
    <cacheField name="File" numFmtId="0">
      <sharedItems containsBlank="1"/>
    </cacheField>
    <cacheField name="Vessel" numFmtId="0">
      <sharedItems/>
    </cacheField>
    <cacheField name="Rights holder" numFmtId="0">
      <sharedItems containsBlank="1"/>
    </cacheField>
    <cacheField name="Permit" numFmtId="0">
      <sharedItems containsBlank="1" containsMixedTypes="1" containsNumber="1" containsInteger="1" minValue="220201" maxValue="2402832"/>
    </cacheField>
    <cacheField name="Sailing date" numFmtId="164">
      <sharedItems containsSemiMixedTypes="0" containsNonDate="0" containsDate="1" containsString="0" minDate="2022-12-28T00:00:00" maxDate="2024-06-10T00:00:00"/>
    </cacheField>
    <cacheField name="Landing date" numFmtId="164">
      <sharedItems containsSemiMixedTypes="0" containsNonDate="0" containsDate="1" containsString="0" minDate="2023-01-03T00:00:00" maxDate="2024-10-18T00:00:00" count="218">
        <d v="2023-01-05T00:00:00"/>
        <d v="2023-01-13T00:00:00"/>
        <d v="2023-01-20T00:00:00"/>
        <d v="2023-01-27T00:00:00"/>
        <d v="2023-02-09T00:00:00"/>
        <d v="2023-02-17T00:00:00"/>
        <d v="2023-02-27T00:00:00"/>
        <d v="2023-03-20T00:00:00"/>
        <d v="2023-04-02T00:00:00"/>
        <d v="2023-04-11T00:00:00"/>
        <d v="2023-04-17T00:00:00"/>
        <d v="2023-04-24T00:00:00"/>
        <d v="2023-05-04T00:00:00"/>
        <d v="2023-05-10T00:00:00"/>
        <d v="2023-05-24T00:00:00"/>
        <d v="2023-05-31T00:00:00"/>
        <d v="2023-01-04T00:00:00"/>
        <d v="2023-01-17T00:00:00"/>
        <d v="2023-01-30T00:00:00"/>
        <d v="2023-01-25T00:00:00"/>
        <d v="2023-02-06T00:00:00"/>
        <d v="2023-02-14T00:00:00"/>
        <d v="2023-02-21T00:00:00"/>
        <d v="2023-02-28T00:00:00"/>
        <d v="2023-03-08T00:00:00"/>
        <d v="2023-03-16T00:00:00"/>
        <d v="2023-03-24T00:00:00"/>
        <d v="2023-04-10T00:00:00"/>
        <d v="2023-05-02T00:00:00"/>
        <d v="2023-05-12T00:00:00"/>
        <d v="2023-05-23T00:00:00"/>
        <d v="2023-05-30T00:00:00"/>
        <d v="2023-01-11T00:00:00"/>
        <d v="2023-01-24T00:00:00"/>
        <d v="2023-01-31T00:00:00"/>
        <d v="2023-02-07T00:00:00"/>
        <d v="2023-02-22T00:00:00"/>
        <d v="2023-03-02T00:00:00"/>
        <d v="2023-05-08T00:00:00"/>
        <d v="2023-05-14T00:00:00"/>
        <d v="2023-05-22T00:00:00"/>
        <d v="2023-05-29T00:00:00"/>
        <d v="2023-01-03T00:00:00"/>
        <d v="2023-01-10T00:00:00"/>
        <d v="2023-03-10T00:00:00"/>
        <d v="2023-04-03T00:00:00"/>
        <d v="2023-05-09T00:00:00"/>
        <d v="2023-05-15T00:00:00"/>
        <d v="2023-01-21T00:00:00"/>
        <d v="2023-02-08T00:00:00"/>
        <d v="2023-03-06T00:00:00"/>
        <d v="2023-03-14T00:00:00"/>
        <d v="2023-04-04T00:00:00"/>
        <d v="2023-04-14T00:00:00"/>
        <d v="2023-04-20T00:00:00"/>
        <d v="2023-04-28T00:00:00"/>
        <d v="2023-05-05T00:00:00"/>
        <d v="2023-02-24T00:00:00"/>
        <d v="2023-03-03T00:00:00"/>
        <d v="2023-03-17T00:00:00"/>
        <d v="2023-03-28T00:00:00"/>
        <d v="2023-04-12T00:00:00"/>
        <d v="2023-04-21T00:00:00"/>
        <d v="2023-02-01T00:00:00"/>
        <d v="2023-03-01T00:00:00"/>
        <d v="2023-03-07T00:00:00"/>
        <d v="2023-04-18T00:00:00"/>
        <d v="2023-04-25T00:00:00"/>
        <d v="2023-06-26T00:00:00"/>
        <d v="2023-06-12T00:00:00"/>
        <d v="2023-06-19T00:00:00"/>
        <d v="2023-04-23T00:00:00"/>
        <d v="2023-05-11T00:00:00"/>
        <d v="2023-05-21T00:00:00"/>
        <d v="2023-06-03T00:00:00"/>
        <d v="2023-02-16T00:00:00"/>
        <d v="2023-04-08T00:00:00"/>
        <d v="2023-04-15T00:00:00"/>
        <d v="2023-04-19T00:00:00"/>
        <d v="2023-05-03T00:00:00"/>
        <d v="2023-05-25T00:00:00"/>
        <d v="2023-02-02T00:00:00"/>
        <d v="2023-03-15T00:00:00"/>
        <d v="2023-03-29T00:00:00"/>
        <d v="2023-04-05T00:00:00"/>
        <d v="2023-04-13T00:00:00"/>
        <d v="2023-05-19T00:00:00"/>
        <d v="2023-06-02T00:00:00"/>
        <d v="2023-07-18T00:00:00"/>
        <d v="2023-07-26T00:00:00"/>
        <d v="2023-10-04T00:00:00"/>
        <d v="2023-08-22T00:00:00"/>
        <d v="2023-08-21T00:00:00"/>
        <d v="2023-08-31T00:00:00"/>
        <d v="2023-09-10T00:00:00"/>
        <d v="2023-09-14T00:00:00"/>
        <d v="2023-09-23T00:00:00"/>
        <d v="2023-09-30T00:00:00"/>
        <d v="2023-10-10T00:00:00"/>
        <d v="2023-10-14T00:00:00"/>
        <d v="2023-10-15T00:00:00"/>
        <d v="2023-10-19T00:00:00"/>
        <d v="2023-10-21T00:00:00"/>
        <d v="2023-11-24T00:00:00"/>
        <d v="2023-11-23T00:00:00"/>
        <d v="2023-11-30T00:00:00"/>
        <d v="2023-11-20T00:00:00"/>
        <d v="2023-11-17T00:00:00"/>
        <d v="2023-11-14T00:00:00"/>
        <d v="2023-10-27T00:00:00"/>
        <d v="2023-10-26T00:00:00"/>
        <d v="2023-11-07T00:00:00"/>
        <d v="2023-11-06T00:00:00"/>
        <d v="2023-11-12T00:00:00"/>
        <d v="2023-11-13T00:00:00"/>
        <d v="2023-03-22T00:00:00"/>
        <d v="2023-03-13T00:00:00"/>
        <d v="2023-12-02T00:00:00"/>
        <d v="2023-12-05T00:00:00"/>
        <d v="2023-12-12T00:00:00"/>
        <d v="2023-12-18T00:00:00"/>
        <d v="2023-12-24T00:00:00"/>
        <d v="2023-12-08T00:00:00"/>
        <d v="2023-12-14T00:00:00"/>
        <d v="2023-12-21T00:00:00"/>
        <d v="2023-12-27T00:00:00"/>
        <d v="2023-12-23T00:00:00"/>
        <d v="2023-12-25T00:00:00"/>
        <d v="2023-12-30T00:00:00"/>
        <d v="2023-11-02T00:00:00"/>
        <d v="2023-11-15T00:00:00"/>
        <d v="2023-11-22T00:00:00"/>
        <d v="2023-11-19T00:00:00"/>
        <d v="2023-11-10T00:00:00"/>
        <d v="2023-10-30T00:00:00"/>
        <d v="2023-10-02T00:00:00"/>
        <d v="2023-10-09T00:00:00"/>
        <d v="2023-10-05T00:00:00"/>
        <d v="2023-10-16T00:00:00"/>
        <d v="2023-10-23T00:00:00"/>
        <d v="2023-10-06T00:00:00"/>
        <d v="2023-10-24T00:00:00"/>
        <d v="2023-10-03T00:00:00"/>
        <d v="2024-10-17T00:00:00"/>
        <d v="2023-10-31T00:00:00"/>
        <d v="2023-09-06T00:00:00"/>
        <d v="2023-09-25T00:00:00"/>
        <d v="2023-09-12T00:00:00"/>
        <d v="2023-09-15T00:00:00"/>
        <d v="2023-09-26T00:00:00"/>
        <d v="2023-09-04T00:00:00"/>
        <d v="2023-09-27T00:00:00"/>
        <d v="2023-09-29T00:00:00"/>
        <d v="2023-08-08T00:00:00"/>
        <d v="2023-08-14T00:00:00"/>
        <d v="2023-07-31T00:00:00"/>
        <d v="2023-08-07T00:00:00"/>
        <d v="2023-08-09T00:00:00"/>
        <d v="2023-08-16T00:00:00"/>
        <d v="2023-08-03T00:00:00"/>
        <d v="2023-08-10T00:00:00"/>
        <d v="2023-08-30T00:00:00"/>
        <d v="2023-08-17T00:00:00"/>
        <d v="2023-11-01T00:00:00"/>
        <d v="2023-11-08T00:00:00"/>
        <d v="2023-11-16T00:00:00"/>
        <d v="2023-12-04T00:00:00"/>
        <d v="2023-12-11T00:00:00"/>
        <d v="2023-12-07T00:00:00"/>
        <d v="2023-12-13T00:00:00"/>
        <d v="2023-12-28T00:00:00"/>
        <d v="2023-12-06T00:00:00"/>
        <d v="2023-12-20T00:00:00"/>
        <d v="2023-12-01T00:00:00"/>
        <d v="2023-12-19T00:00:00"/>
        <d v="2024-02-05T00:00:00"/>
        <d v="2024-02-06T00:00:00"/>
        <d v="2024-02-20T00:00:00"/>
        <d v="2024-02-15T00:00:00"/>
        <d v="2024-02-09T00:00:00"/>
        <d v="2024-01-28T00:00:00"/>
        <d v="2024-01-16T00:00:00"/>
        <d v="2024-01-01T00:00:00"/>
        <d v="2024-01-14T00:00:00"/>
        <d v="2024-01-04T00:00:00"/>
        <d v="2024-02-14T00:00:00"/>
        <d v="2024-02-23T00:00:00"/>
        <d v="2024-01-30T00:00:00"/>
        <d v="2024-01-24T00:00:00"/>
        <d v="2024-01-21T00:00:00"/>
        <d v="2024-03-31T00:00:00"/>
        <d v="2023-01-29T00:00:00"/>
        <d v="2024-03-05T00:00:00"/>
        <d v="2024-03-27T00:00:00"/>
        <d v="2024-02-24T00:00:00"/>
        <d v="2024-03-24T00:00:00"/>
        <d v="2024-04-04T00:00:00"/>
        <d v="2024-03-03T00:00:00"/>
        <d v="2024-04-06T00:00:00"/>
        <d v="2024-03-14T00:00:00"/>
        <d v="2024-06-12T00:00:00"/>
        <d v="2024-05-31T00:00:00"/>
        <d v="2024-05-28T00:00:00"/>
        <d v="2024-05-23T00:00:00"/>
        <d v="2024-05-16T00:00:00"/>
        <d v="2024-05-10T00:00:00"/>
        <d v="2024-05-02T00:00:00"/>
        <d v="2024-04-26T00:00:00"/>
        <d v="2024-04-22T00:00:00"/>
        <d v="2024-04-17T00:00:00"/>
        <d v="2024-06-15T00:00:00"/>
        <d v="2024-05-04T00:00:00"/>
        <d v="2024-04-20T00:00:00"/>
        <d v="2024-04-16T00:00:00"/>
        <d v="2024-05-12T00:00:00"/>
        <d v="2024-05-20T00:00:00"/>
        <d v="2023-10-11T00:00:00"/>
        <d v="2023-10-17T00:00:00"/>
      </sharedItems>
      <fieldGroup par="37"/>
    </cacheField>
    <cacheField name="Squid" numFmtId="0">
      <sharedItems containsString="0" containsBlank="1" containsNumber="1" containsInteger="1" minValue="0" maxValue="3503"/>
    </cacheField>
    <cacheField name="East coast sole" numFmtId="0">
      <sharedItems containsString="0" containsBlank="1" containsNumber="1" containsInteger="1" minValue="0" maxValue="1907"/>
    </cacheField>
    <cacheField name="Hake" numFmtId="0">
      <sharedItems containsString="0" containsBlank="1" containsNumber="1" containsInteger="1" minValue="0" maxValue="66445"/>
    </cacheField>
    <cacheField name="Kingklip" numFmtId="0">
      <sharedItems containsString="0" containsBlank="1" containsNumber="1" containsInteger="1" minValue="0" maxValue="8729"/>
    </cacheField>
    <cacheField name="Horse mackerel" numFmtId="0">
      <sharedItems containsSemiMixedTypes="0" containsString="0" containsNumber="1" containsInteger="1" minValue="0" maxValue="27128"/>
    </cacheField>
    <cacheField name="Monk" numFmtId="0">
      <sharedItems containsString="0" containsBlank="1" containsNumber="1" containsInteger="1" minValue="0" maxValue="4802"/>
    </cacheField>
    <cacheField name="Ribbonfish" numFmtId="0">
      <sharedItems containsString="0" containsBlank="1" containsNumber="1" containsInteger="1" minValue="0" maxValue="23152"/>
    </cacheField>
    <cacheField name="Snoek" numFmtId="0">
      <sharedItems containsString="0" containsBlank="1" containsNumber="1" containsInteger="1" minValue="0" maxValue="1465"/>
    </cacheField>
    <cacheField name="Jacopever" numFmtId="0">
      <sharedItems containsString="0" containsBlank="1" containsNumber="1" containsInteger="1" minValue="0" maxValue="3824"/>
    </cacheField>
    <cacheField name="Alfonsino" numFmtId="0">
      <sharedItems containsString="0" containsBlank="1" containsNumber="1" containsInteger="1" minValue="0" maxValue="30"/>
    </cacheField>
    <cacheField name="Skate" numFmtId="0">
      <sharedItems containsString="0" containsBlank="1" containsNumber="1" containsInteger="1" minValue="0" maxValue="3636"/>
    </cacheField>
    <cacheField name="Cape dory" numFmtId="0">
      <sharedItems containsString="0" containsBlank="1" containsNumber="1" containsInteger="1" minValue="0" maxValue="407"/>
    </cacheField>
    <cacheField name="Chubb mackerel" numFmtId="0">
      <sharedItems containsString="0" containsBlank="1" containsNumber="1" containsInteger="1" minValue="0" maxValue="3973"/>
    </cacheField>
    <cacheField name="Angel" numFmtId="0">
      <sharedItems containsString="0" containsBlank="1" containsNumber="1" containsInteger="1" minValue="0" maxValue="361"/>
    </cacheField>
    <cacheField name="Gurnard" numFmtId="0">
      <sharedItems containsString="0" containsBlank="1" containsNumber="1" minValue="0" maxValue="3998"/>
    </cacheField>
    <cacheField name="Kabeljou" numFmtId="0">
      <sharedItems containsString="0" containsBlank="1" containsNumber="1" containsInteger="1" minValue="0" maxValue="6301"/>
    </cacheField>
    <cacheField name="Panga" numFmtId="0">
      <sharedItems containsString="0" containsBlank="1" containsNumber="1" containsInteger="1" minValue="0" maxValue="18560"/>
    </cacheField>
    <cacheField name="Red mullet" numFmtId="0">
      <sharedItems containsString="0" containsBlank="1" containsNumber="1" containsInteger="1" minValue="0" maxValue="256"/>
    </cacheField>
    <cacheField name="Vaalhaai" numFmtId="0">
      <sharedItems containsString="0" containsBlank="1" containsNumber="1" minValue="0" maxValue="619.01"/>
    </cacheField>
    <cacheField name="Penhaai" numFmtId="0">
      <sharedItems containsString="0" containsBlank="1" containsNumber="1" containsInteger="1" minValue="0" maxValue="0"/>
    </cacheField>
    <cacheField name="Mustelus" numFmtId="0">
      <sharedItems containsString="0" containsBlank="1" containsNumber="1" minValue="0" maxValue="955.70999999999992"/>
    </cacheField>
    <cacheField name="Unspecified Shark Species" numFmtId="0">
      <sharedItems containsString="0" containsBlank="1" containsNumber="1" minValue="0" maxValue="271.95"/>
    </cacheField>
    <cacheField name="St Joseph" numFmtId="0">
      <sharedItems containsString="0" containsBlank="1" containsNumber="1" containsInteger="1" minValue="0" maxValue="4834"/>
    </cacheField>
    <cacheField name="Octopus" numFmtId="0">
      <sharedItems containsString="0" containsBlank="1" containsNumber="1" containsInteger="1" minValue="0" maxValue="106"/>
    </cacheField>
    <cacheField name="Carpenter" numFmtId="0">
      <sharedItems containsString="0" containsBlank="1" containsNumber="1" containsInteger="1" minValue="0" maxValue="2060"/>
    </cacheField>
    <cacheField name="Red stumpnose" numFmtId="0">
      <sharedItems containsString="0" containsBlank="1" containsNumber="1" containsInteger="1" minValue="0" maxValue="6"/>
    </cacheField>
    <cacheField name="White stumpnose" numFmtId="0">
      <sharedItems containsString="0" containsBlank="1" containsNumber="1" containsInteger="1" minValue="0" maxValue="1124"/>
    </cacheField>
    <cacheField name="Baardman" numFmtId="0">
      <sharedItems containsString="0" containsBlank="1" containsNumber="1" containsInteger="1" minValue="0" maxValue="319"/>
    </cacheField>
    <cacheField name="Biskop" numFmtId="0">
      <sharedItems containsString="0" containsBlank="1" containsNumber="1" containsInteger="1" minValue="0" maxValue="36"/>
    </cacheField>
    <cacheField name="Months (Landing date)" numFmtId="0" databaseField="0">
      <fieldGroup base="6">
        <rangePr groupBy="months" startDate="2023-01-03T00:00:00" endDate="2024-10-18T00:00:00"/>
        <groupItems count="14">
          <s v="&lt;2023/01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10/18"/>
        </groupItems>
      </fieldGroup>
    </cacheField>
    <cacheField name="Years (Landing date)" numFmtId="0" databaseField="0">
      <fieldGroup base="6">
        <rangePr groupBy="years" startDate="2023-01-03T00:00:00" endDate="2024-10-18T00:00:00"/>
        <groupItems count="4">
          <s v="&lt;2023/01/03"/>
          <s v="2023"/>
          <s v="2024"/>
          <s v="&gt;2024/10/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n v="2"/>
    <s v="Lindiwe(1)14June2023"/>
    <s v="Lindiwe"/>
    <s v="Sea Vuna Fishing"/>
    <n v="2200198"/>
    <d v="2022-12-30T00:00:00"/>
    <x v="0"/>
    <n v="0"/>
    <n v="0"/>
    <n v="1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s v="Lindiwe(1)14June2023"/>
    <s v="Lindiwe"/>
    <s v="Sea Vuna Fishing"/>
    <n v="2300464"/>
    <d v="2022-12-30T00:00:00"/>
    <x v="0"/>
    <n v="353"/>
    <n v="86"/>
    <n v="8453"/>
    <n v="41"/>
    <n v="602"/>
    <n v="182"/>
    <n v="0"/>
    <n v="0"/>
    <n v="0"/>
    <n v="0"/>
    <n v="3182"/>
    <n v="0"/>
    <n v="0"/>
    <n v="3"/>
    <n v="988"/>
    <n v="93"/>
    <n v="20"/>
    <n v="0"/>
    <n v="2.59"/>
    <n v="0"/>
    <n v="54.39"/>
    <n v="0"/>
    <n v="716"/>
    <n v="0"/>
    <n v="91"/>
    <n v="0"/>
    <n v="259"/>
    <n v="3"/>
    <n v="0"/>
  </r>
  <r>
    <n v="5"/>
    <s v="Lindiwe(1)14June2023"/>
    <s v="Lindiwe"/>
    <s v="Sea Vuna Fishing"/>
    <n v="2300464"/>
    <d v="2023-01-06T00:00:00"/>
    <x v="1"/>
    <n v="129"/>
    <n v="15"/>
    <n v="13839"/>
    <n v="15"/>
    <n v="170"/>
    <n v="210"/>
    <n v="0"/>
    <n v="0"/>
    <n v="0"/>
    <n v="0"/>
    <n v="2084"/>
    <n v="2"/>
    <n v="0"/>
    <n v="0"/>
    <n v="848"/>
    <n v="0"/>
    <n v="81"/>
    <n v="0"/>
    <n v="0"/>
    <n v="0"/>
    <n v="8"/>
    <n v="0"/>
    <n v="50"/>
    <n v="0"/>
    <n v="33"/>
    <n v="0"/>
    <n v="4"/>
    <n v="0"/>
    <n v="0"/>
  </r>
  <r>
    <n v="8"/>
    <s v="Lindiwe(1)14June2023"/>
    <s v="Lindiwe"/>
    <s v="Sea Vuna Fishing"/>
    <n v="2300464"/>
    <d v="2023-01-14T00:00:00"/>
    <x v="2"/>
    <n v="232"/>
    <n v="20"/>
    <n v="13543"/>
    <n v="29"/>
    <n v="140"/>
    <n v="141"/>
    <n v="0"/>
    <n v="0"/>
    <n v="0"/>
    <n v="0"/>
    <n v="588"/>
    <n v="0"/>
    <n v="0"/>
    <n v="0"/>
    <n v="1133"/>
    <n v="69"/>
    <n v="99"/>
    <n v="0"/>
    <n v="0"/>
    <n v="0"/>
    <n v="0"/>
    <n v="0"/>
    <n v="678"/>
    <n v="0"/>
    <n v="12"/>
    <n v="0"/>
    <n v="165"/>
    <n v="2"/>
    <n v="0"/>
  </r>
  <r>
    <n v="11"/>
    <s v="Lindiwe(1)14June2023"/>
    <s v="Lindiwe"/>
    <s v="Sea Vuna Fishing"/>
    <n v="2300464"/>
    <d v="2023-01-21T00:00:00"/>
    <x v="3"/>
    <n v="141"/>
    <n v="13"/>
    <n v="12522"/>
    <n v="12"/>
    <n v="337"/>
    <n v="299"/>
    <n v="0"/>
    <n v="3"/>
    <n v="0"/>
    <n v="0"/>
    <n v="812"/>
    <n v="0"/>
    <n v="0"/>
    <n v="0"/>
    <n v="1187"/>
    <n v="12"/>
    <n v="117"/>
    <n v="0"/>
    <n v="0"/>
    <n v="0"/>
    <n v="0"/>
    <n v="0"/>
    <n v="66"/>
    <n v="0"/>
    <n v="27"/>
    <n v="0"/>
    <n v="3"/>
    <n v="0"/>
    <n v="0"/>
  </r>
  <r>
    <n v="14"/>
    <s v="Lindiwe(1)14June2023"/>
    <s v="Lindiwe"/>
    <s v="Sea Vuna Fishing"/>
    <n v="2300464"/>
    <d v="2023-02-01T00:00:00"/>
    <x v="4"/>
    <n v="74"/>
    <n v="82"/>
    <n v="5703"/>
    <n v="126"/>
    <n v="405"/>
    <n v="630"/>
    <n v="0"/>
    <n v="3"/>
    <n v="0"/>
    <n v="0"/>
    <n v="1632"/>
    <n v="0"/>
    <n v="0"/>
    <n v="0"/>
    <n v="1606"/>
    <n v="45"/>
    <n v="2226"/>
    <n v="0"/>
    <n v="0"/>
    <n v="0"/>
    <n v="2.59"/>
    <n v="0"/>
    <n v="362"/>
    <n v="0"/>
    <n v="23"/>
    <n v="0"/>
    <n v="303"/>
    <n v="4"/>
    <n v="0"/>
  </r>
  <r>
    <n v="17"/>
    <s v="Lindiwe(1)14June2023"/>
    <s v="Lindiwe"/>
    <s v="Sea Vuna Fishing"/>
    <n v="2300464"/>
    <d v="2023-02-10T00:00:00"/>
    <x v="5"/>
    <n v="36"/>
    <n v="160"/>
    <n v="3574"/>
    <n v="15"/>
    <n v="8"/>
    <n v="0"/>
    <n v="0"/>
    <n v="3"/>
    <n v="0"/>
    <n v="0"/>
    <n v="240"/>
    <n v="0"/>
    <n v="0"/>
    <n v="0"/>
    <n v="3783"/>
    <n v="8"/>
    <n v="512"/>
    <n v="0"/>
    <n v="2.59"/>
    <n v="0"/>
    <n v="28.49"/>
    <n v="0"/>
    <n v="1250"/>
    <n v="0"/>
    <n v="18"/>
    <n v="0"/>
    <n v="522"/>
    <n v="1"/>
    <n v="0"/>
  </r>
  <r>
    <n v="19"/>
    <s v="Lindiwe(1)14June2023"/>
    <s v="Lindiwe"/>
    <s v="Ezabantu"/>
    <n v="2302471"/>
    <d v="2023-02-18T00:00:00"/>
    <x v="6"/>
    <n v="106"/>
    <n v="35"/>
    <n v="6122"/>
    <n v="81"/>
    <n v="102"/>
    <n v="0"/>
    <n v="0"/>
    <n v="0"/>
    <n v="0"/>
    <n v="0"/>
    <n v="1032"/>
    <n v="0"/>
    <n v="0"/>
    <n v="0"/>
    <n v="907"/>
    <n v="72"/>
    <n v="1072"/>
    <n v="0"/>
    <n v="15.54"/>
    <n v="0"/>
    <n v="271.95"/>
    <n v="0"/>
    <n v="112"/>
    <n v="0"/>
    <n v="43"/>
    <n v="0"/>
    <n v="5"/>
    <n v="2"/>
    <n v="0"/>
  </r>
  <r>
    <n v="22"/>
    <s v="Lindiwe(1)14June2023"/>
    <s v="Lindiwe"/>
    <s v="Ezabantu"/>
    <n v="2302471"/>
    <d v="2023-03-13T00:00:00"/>
    <x v="7"/>
    <n v="24"/>
    <n v="102"/>
    <n v="4457"/>
    <n v="0"/>
    <n v="4"/>
    <n v="89"/>
    <n v="0"/>
    <n v="0"/>
    <n v="0"/>
    <n v="0"/>
    <n v="780"/>
    <n v="0"/>
    <n v="0"/>
    <n v="3"/>
    <n v="869"/>
    <n v="5"/>
    <n v="64"/>
    <n v="0"/>
    <n v="2.59"/>
    <n v="0"/>
    <n v="23.31"/>
    <n v="0"/>
    <n v="1112"/>
    <n v="0"/>
    <n v="33"/>
    <n v="0"/>
    <n v="421"/>
    <n v="2"/>
    <n v="0"/>
  </r>
  <r>
    <n v="25"/>
    <s v="Lindiwe(1)14June2023"/>
    <s v="Lindiwe"/>
    <s v="Ezabantu"/>
    <n v="2302471"/>
    <d v="2023-03-28T00:00:00"/>
    <x v="8"/>
    <n v="8"/>
    <n v="239"/>
    <n v="7582"/>
    <n v="8"/>
    <n v="1"/>
    <n v="0"/>
    <n v="0"/>
    <n v="0"/>
    <n v="0"/>
    <n v="0"/>
    <n v="600"/>
    <n v="0"/>
    <n v="0"/>
    <n v="0"/>
    <n v="1064"/>
    <n v="10"/>
    <n v="138"/>
    <n v="0"/>
    <n v="2.59"/>
    <n v="0"/>
    <n v="64.75"/>
    <n v="0"/>
    <n v="1014"/>
    <n v="0"/>
    <n v="262"/>
    <n v="0"/>
    <n v="519"/>
    <n v="10"/>
    <n v="0"/>
  </r>
  <r>
    <n v="28"/>
    <s v="Lindiwe(1)14June2023"/>
    <s v="Lindiwe"/>
    <s v="Ezabantu"/>
    <n v="2302471"/>
    <d v="2023-04-02T00:00:00"/>
    <x v="9"/>
    <n v="128"/>
    <n v="46"/>
    <n v="8595"/>
    <n v="40"/>
    <n v="304"/>
    <n v="1049"/>
    <n v="0"/>
    <n v="4"/>
    <n v="0"/>
    <n v="0"/>
    <n v="3240"/>
    <n v="0"/>
    <n v="0"/>
    <n v="0"/>
    <n v="1631"/>
    <n v="7"/>
    <n v="562"/>
    <n v="0"/>
    <n v="0"/>
    <n v="0"/>
    <n v="10.36"/>
    <n v="0"/>
    <n v="594"/>
    <n v="0"/>
    <n v="121"/>
    <n v="0"/>
    <n v="486"/>
    <n v="8"/>
    <n v="0"/>
  </r>
  <r>
    <n v="31"/>
    <s v="Lindiwe(1)14June2023"/>
    <s v="Lindiwe"/>
    <s v="Ezabantu"/>
    <n v="2302471"/>
    <d v="2023-04-11T00:00:00"/>
    <x v="10"/>
    <n v="18"/>
    <n v="183"/>
    <n v="10949"/>
    <n v="12"/>
    <n v="21"/>
    <n v="0"/>
    <n v="0"/>
    <n v="0"/>
    <n v="0"/>
    <n v="0"/>
    <n v="716"/>
    <n v="0"/>
    <n v="0"/>
    <n v="0"/>
    <n v="1266"/>
    <n v="48"/>
    <n v="838"/>
    <n v="0"/>
    <n v="2.59"/>
    <n v="0"/>
    <n v="46.62"/>
    <n v="0"/>
    <n v="1060"/>
    <n v="0"/>
    <n v="55"/>
    <n v="0"/>
    <n v="430"/>
    <n v="2"/>
    <n v="0"/>
  </r>
  <r>
    <n v="34"/>
    <s v="Lindiwe(1)14June2023"/>
    <s v="Lindiwe"/>
    <s v="Ezabantu"/>
    <n v="2302471"/>
    <d v="2023-04-18T00:00:00"/>
    <x v="11"/>
    <n v="68"/>
    <n v="143"/>
    <n v="10217"/>
    <n v="9"/>
    <n v="129"/>
    <n v="3"/>
    <n v="0"/>
    <n v="0"/>
    <n v="0"/>
    <n v="0"/>
    <n v="872"/>
    <n v="0"/>
    <n v="0"/>
    <n v="0"/>
    <n v="1464"/>
    <n v="1"/>
    <n v="1186"/>
    <n v="0"/>
    <n v="5.18"/>
    <n v="0"/>
    <n v="75.11"/>
    <n v="0"/>
    <n v="630"/>
    <n v="0"/>
    <n v="178"/>
    <n v="0"/>
    <n v="412"/>
    <n v="0"/>
    <n v="0"/>
  </r>
  <r>
    <n v="37"/>
    <s v="Lindiwe(1)14June2023"/>
    <s v="Lindiwe"/>
    <s v="Ezabantu"/>
    <n v="2302471"/>
    <d v="2023-04-25T00:00:00"/>
    <x v="12"/>
    <n v="181"/>
    <n v="89"/>
    <n v="5752"/>
    <n v="18"/>
    <n v="38"/>
    <n v="3"/>
    <n v="0"/>
    <n v="0"/>
    <n v="0"/>
    <n v="0"/>
    <n v="832"/>
    <n v="0"/>
    <n v="0"/>
    <n v="0"/>
    <n v="1674"/>
    <n v="21"/>
    <n v="1571"/>
    <n v="0"/>
    <n v="2.59"/>
    <n v="0"/>
    <n v="46.62"/>
    <n v="0"/>
    <n v="946"/>
    <n v="0"/>
    <n v="105"/>
    <n v="0"/>
    <n v="300"/>
    <n v="0"/>
    <n v="0"/>
  </r>
  <r>
    <n v="40"/>
    <s v="Lindiwe(1)14June2023"/>
    <s v="Lindiwe"/>
    <s v="Ezabantu"/>
    <n v="2302471"/>
    <d v="2023-05-04T00:00:00"/>
    <x v="13"/>
    <n v="143"/>
    <n v="316"/>
    <n v="9595"/>
    <n v="17"/>
    <n v="253"/>
    <n v="120"/>
    <n v="2"/>
    <n v="0"/>
    <n v="0"/>
    <n v="0"/>
    <n v="1080"/>
    <n v="0"/>
    <n v="0"/>
    <n v="0"/>
    <n v="780"/>
    <n v="120"/>
    <n v="496"/>
    <n v="0"/>
    <n v="2.59"/>
    <n v="0"/>
    <n v="72.52"/>
    <n v="0"/>
    <n v="412"/>
    <n v="0"/>
    <n v="61"/>
    <n v="0"/>
    <n v="70"/>
    <n v="3"/>
    <n v="0"/>
  </r>
  <r>
    <n v="43"/>
    <s v="Lindiwe(1)14June2023"/>
    <s v="Lindiwe"/>
    <s v="Ezabantu"/>
    <n v="2302471"/>
    <d v="2023-05-16T00:00:00"/>
    <x v="14"/>
    <n v="2"/>
    <n v="67"/>
    <n v="3251"/>
    <n v="35"/>
    <n v="2"/>
    <n v="0"/>
    <n v="0"/>
    <n v="0"/>
    <n v="0"/>
    <n v="0"/>
    <n v="812"/>
    <n v="0"/>
    <n v="0"/>
    <n v="0"/>
    <n v="232"/>
    <n v="84"/>
    <n v="154"/>
    <n v="0"/>
    <n v="2.59"/>
    <n v="0"/>
    <n v="64.75"/>
    <n v="0"/>
    <n v="1034"/>
    <n v="0"/>
    <n v="55"/>
    <n v="0"/>
    <n v="109"/>
    <n v="30"/>
    <n v="0"/>
  </r>
  <r>
    <n v="46"/>
    <s v="Lindiwe(1)14June2023"/>
    <s v="Lindiwe"/>
    <s v="Ezabantu"/>
    <n v="2302471"/>
    <d v="2023-05-24T00:00:00"/>
    <x v="15"/>
    <n v="20"/>
    <n v="46"/>
    <n v="5081"/>
    <n v="9"/>
    <n v="27"/>
    <n v="0"/>
    <n v="0"/>
    <n v="0"/>
    <n v="0"/>
    <n v="0"/>
    <n v="684"/>
    <n v="0"/>
    <n v="0"/>
    <n v="0"/>
    <n v="259"/>
    <n v="59"/>
    <n v="232"/>
    <n v="0"/>
    <n v="5.18"/>
    <n v="0"/>
    <n v="72.52"/>
    <n v="0"/>
    <n v="522"/>
    <n v="0"/>
    <n v="397"/>
    <n v="0"/>
    <n v="280"/>
    <n v="24"/>
    <n v="0"/>
  </r>
  <r>
    <n v="49"/>
    <s v="Leeukop14June2023"/>
    <s v="Leeukop"/>
    <s v="Sea Vuna Fishing"/>
    <n v="2200200"/>
    <d v="2022-12-29T00:00:00"/>
    <x v="16"/>
    <n v="0"/>
    <n v="0"/>
    <n v="10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9"/>
    <s v="Leeukop14June2023"/>
    <s v="Leeukop"/>
    <s v="Southern Peninsula Trawling"/>
    <n v="2207317"/>
    <d v="2022-12-29T00:00:00"/>
    <x v="16"/>
    <n v="405"/>
    <n v="21"/>
    <n v="6091"/>
    <n v="5"/>
    <n v="1247"/>
    <n v="320"/>
    <n v="0"/>
    <n v="10"/>
    <n v="0"/>
    <n v="0"/>
    <n v="2652"/>
    <n v="0"/>
    <n v="0"/>
    <n v="0"/>
    <n v="757"/>
    <n v="128"/>
    <n v="85"/>
    <n v="0"/>
    <n v="10.36"/>
    <n v="0"/>
    <n v="186.48"/>
    <n v="0"/>
    <n v="1080"/>
    <n v="2"/>
    <n v="109"/>
    <n v="0"/>
    <n v="114"/>
    <n v="8"/>
    <n v="0"/>
  </r>
  <r>
    <n v="55"/>
    <s v="Leeukop14June2023"/>
    <s v="Leeukop"/>
    <s v="Sea Vuna Fishing"/>
    <n v="2300647"/>
    <d v="2023-01-12T00:00:00"/>
    <x v="17"/>
    <n v="214"/>
    <n v="16"/>
    <n v="12574"/>
    <n v="23"/>
    <n v="448"/>
    <n v="375"/>
    <n v="0"/>
    <n v="0"/>
    <n v="0"/>
    <n v="0"/>
    <n v="832"/>
    <n v="0"/>
    <n v="0"/>
    <n v="0"/>
    <n v="875"/>
    <n v="45"/>
    <n v="318"/>
    <n v="0"/>
    <n v="5.18"/>
    <n v="0"/>
    <n v="95.83"/>
    <n v="0"/>
    <n v="280"/>
    <n v="0"/>
    <n v="107"/>
    <n v="0"/>
    <n v="416"/>
    <n v="3"/>
    <n v="0"/>
  </r>
  <r>
    <n v="58"/>
    <s v="Leeukop14June2023"/>
    <s v="Leeukop"/>
    <s v="Sea Vuna Fishing"/>
    <n v="2300647"/>
    <d v="2023-01-25T00:00:00"/>
    <x v="18"/>
    <n v="45"/>
    <n v="1"/>
    <n v="6497"/>
    <n v="14"/>
    <n v="790"/>
    <n v="100"/>
    <n v="9"/>
    <n v="0"/>
    <n v="0"/>
    <n v="0"/>
    <n v="1092"/>
    <n v="0"/>
    <n v="0"/>
    <n v="0"/>
    <n v="220"/>
    <n v="41"/>
    <n v="33"/>
    <n v="0"/>
    <n v="0"/>
    <n v="0"/>
    <n v="18.13"/>
    <n v="0"/>
    <n v="278"/>
    <n v="0"/>
    <n v="18"/>
    <n v="0"/>
    <n v="26"/>
    <n v="0"/>
    <n v="0"/>
  </r>
  <r>
    <n v="61"/>
    <s v="Leeukop14June2023"/>
    <s v="Leeukop"/>
    <s v="Sea Vuna Fishing"/>
    <n v="2300647"/>
    <d v="2023-01-18T00:00:00"/>
    <x v="19"/>
    <n v="190"/>
    <n v="17"/>
    <n v="19523"/>
    <n v="58"/>
    <n v="902"/>
    <n v="571"/>
    <n v="0"/>
    <n v="0"/>
    <n v="0"/>
    <n v="0"/>
    <n v="1172"/>
    <n v="0"/>
    <n v="0"/>
    <n v="0"/>
    <n v="1165"/>
    <n v="0"/>
    <n v="334"/>
    <n v="0"/>
    <n v="2.59"/>
    <n v="0"/>
    <n v="44.03"/>
    <n v="0"/>
    <n v="60"/>
    <n v="0"/>
    <n v="10"/>
    <n v="0"/>
    <n v="9"/>
    <n v="0"/>
    <n v="0"/>
  </r>
  <r>
    <n v="64"/>
    <s v="Leeukop14June2023"/>
    <s v="Leeukop"/>
    <s v="Sea Vuna Fishing"/>
    <n v="2300647"/>
    <d v="2023-01-31T00:00:00"/>
    <x v="20"/>
    <n v="65"/>
    <n v="22"/>
    <n v="11903"/>
    <n v="18"/>
    <n v="221"/>
    <n v="279"/>
    <n v="4"/>
    <n v="0"/>
    <n v="0"/>
    <n v="0"/>
    <n v="1684"/>
    <n v="0"/>
    <n v="0"/>
    <n v="0"/>
    <n v="2047"/>
    <n v="59"/>
    <n v="1523"/>
    <n v="0"/>
    <n v="2.59"/>
    <n v="0"/>
    <n v="67.34"/>
    <n v="0"/>
    <n v="574"/>
    <n v="0"/>
    <n v="598"/>
    <n v="0"/>
    <n v="391"/>
    <n v="0"/>
    <n v="0"/>
  </r>
  <r>
    <n v="67"/>
    <s v="Leeukop14June2023"/>
    <s v="Leeukop"/>
    <s v="Sea Vuna Fishing"/>
    <n v="2300647"/>
    <d v="2023-02-08T00:00:00"/>
    <x v="21"/>
    <n v="85"/>
    <n v="0"/>
    <n v="17451"/>
    <n v="68"/>
    <n v="74"/>
    <n v="131"/>
    <n v="0"/>
    <n v="0"/>
    <n v="0"/>
    <n v="0"/>
    <n v="460"/>
    <n v="27"/>
    <n v="0"/>
    <n v="0"/>
    <n v="361"/>
    <n v="2"/>
    <n v="2238"/>
    <n v="0"/>
    <n v="10.36"/>
    <n v="0"/>
    <n v="170.94"/>
    <n v="0"/>
    <n v="370"/>
    <n v="0"/>
    <n v="84"/>
    <n v="0"/>
    <n v="16"/>
    <n v="0"/>
    <n v="0"/>
  </r>
  <r>
    <n v="70"/>
    <s v="Leeukop14June2023"/>
    <s v="Leeukop"/>
    <s v="Boloko Trading"/>
    <n v="2301592"/>
    <d v="2023-02-14T00:00:00"/>
    <x v="22"/>
    <n v="287"/>
    <n v="68"/>
    <n v="9426"/>
    <n v="41"/>
    <n v="2402"/>
    <n v="65"/>
    <n v="0"/>
    <n v="0"/>
    <n v="0"/>
    <n v="0"/>
    <n v="568"/>
    <n v="9"/>
    <n v="0"/>
    <n v="0"/>
    <n v="1222"/>
    <n v="58"/>
    <n v="1924"/>
    <n v="0"/>
    <n v="38.849999999999994"/>
    <n v="0"/>
    <n v="740.74"/>
    <n v="0"/>
    <n v="322"/>
    <n v="0"/>
    <n v="29"/>
    <n v="0"/>
    <n v="11"/>
    <n v="6"/>
    <n v="0"/>
  </r>
  <r>
    <n v="74"/>
    <s v="Leeukop14June2023"/>
    <s v="Leeukop"/>
    <s v="Boloko Trading"/>
    <n v="2301592"/>
    <d v="2023-02-21T00:00:00"/>
    <x v="23"/>
    <n v="121"/>
    <n v="3"/>
    <n v="8764"/>
    <n v="32"/>
    <n v="474"/>
    <n v="28"/>
    <n v="0"/>
    <n v="10"/>
    <n v="0"/>
    <n v="0"/>
    <n v="1144"/>
    <n v="0"/>
    <n v="0"/>
    <n v="0"/>
    <n v="1278"/>
    <n v="9"/>
    <n v="2757"/>
    <n v="0"/>
    <n v="15.54"/>
    <n v="0"/>
    <n v="269.36"/>
    <n v="0"/>
    <n v="254"/>
    <n v="0"/>
    <n v="86"/>
    <n v="0"/>
    <n v="8"/>
    <n v="0"/>
    <n v="0"/>
  </r>
  <r>
    <n v="77"/>
    <s v="Leeukop14June2023"/>
    <s v="Leeukop"/>
    <s v="Boloko Trading"/>
    <n v="2301592"/>
    <d v="2023-03-01T00:00:00"/>
    <x v="24"/>
    <n v="244"/>
    <n v="144"/>
    <n v="7052"/>
    <n v="38"/>
    <n v="515"/>
    <n v="392"/>
    <n v="0"/>
    <n v="0"/>
    <n v="0"/>
    <n v="0"/>
    <n v="2012"/>
    <n v="0"/>
    <n v="0"/>
    <n v="0"/>
    <n v="1865"/>
    <n v="16"/>
    <n v="1319"/>
    <n v="0"/>
    <n v="7.77"/>
    <n v="0"/>
    <n v="132.09"/>
    <n v="0"/>
    <n v="716"/>
    <n v="0"/>
    <n v="463"/>
    <n v="0"/>
    <n v="837"/>
    <n v="5"/>
    <n v="0"/>
  </r>
  <r>
    <n v="80"/>
    <s v="Leeukop14June2023"/>
    <s v="Leeukop"/>
    <s v="Boloko Trading"/>
    <n v="2301592"/>
    <d v="2023-03-09T00:00:00"/>
    <x v="25"/>
    <n v="109"/>
    <n v="119"/>
    <n v="7902"/>
    <n v="3"/>
    <n v="178"/>
    <n v="217"/>
    <n v="4"/>
    <n v="0"/>
    <n v="0"/>
    <n v="0"/>
    <n v="1068"/>
    <n v="0"/>
    <n v="0"/>
    <n v="0"/>
    <n v="1502"/>
    <n v="2"/>
    <n v="73"/>
    <n v="0"/>
    <n v="2.59"/>
    <n v="0"/>
    <n v="54.39"/>
    <n v="0"/>
    <n v="700"/>
    <n v="0"/>
    <n v="9"/>
    <n v="0"/>
    <n v="204"/>
    <n v="0"/>
    <n v="0"/>
  </r>
  <r>
    <n v="83"/>
    <s v="Leeukop14June2023"/>
    <s v="Leeukop"/>
    <s v="Ezabantu"/>
    <n v="2302470"/>
    <d v="2023-03-18T00:00:00"/>
    <x v="26"/>
    <n v="45"/>
    <n v="8"/>
    <n v="7300"/>
    <n v="15"/>
    <n v="1890"/>
    <n v="24"/>
    <n v="0"/>
    <n v="0"/>
    <n v="0"/>
    <n v="0"/>
    <n v="864"/>
    <n v="0"/>
    <n v="0"/>
    <n v="0"/>
    <n v="644"/>
    <n v="28"/>
    <n v="2712"/>
    <n v="0"/>
    <n v="31.08"/>
    <n v="0"/>
    <n v="611.24"/>
    <n v="0"/>
    <n v="90"/>
    <n v="0"/>
    <n v="178"/>
    <n v="0"/>
    <n v="73"/>
    <n v="3"/>
    <n v="0"/>
  </r>
  <r>
    <n v="86"/>
    <s v="Leeukop14June2023"/>
    <s v="Leeukop"/>
    <s v="Ezabantu"/>
    <n v="2302470"/>
    <d v="2023-03-27T00:00:00"/>
    <x v="8"/>
    <n v="234"/>
    <n v="70"/>
    <n v="12794"/>
    <n v="52"/>
    <n v="1077"/>
    <n v="654"/>
    <n v="0"/>
    <n v="10"/>
    <n v="0"/>
    <n v="0"/>
    <n v="1100"/>
    <n v="0"/>
    <n v="0"/>
    <n v="0"/>
    <n v="1568"/>
    <n v="82"/>
    <n v="990"/>
    <n v="0"/>
    <n v="5.18"/>
    <n v="0"/>
    <n v="82.88"/>
    <n v="0"/>
    <n v="812"/>
    <n v="3"/>
    <n v="162"/>
    <n v="0"/>
    <n v="795"/>
    <n v="3"/>
    <n v="0"/>
  </r>
  <r>
    <n v="89"/>
    <s v="Leeukop14June2023"/>
    <s v="Leeukop"/>
    <s v="Cape Fish Processors"/>
    <n v="2303585"/>
    <d v="2023-04-02T00:00:00"/>
    <x v="27"/>
    <n v="642"/>
    <n v="114"/>
    <n v="13207"/>
    <n v="103"/>
    <n v="588"/>
    <n v="1225"/>
    <n v="5"/>
    <n v="0"/>
    <n v="0"/>
    <n v="0"/>
    <n v="3636"/>
    <m/>
    <m/>
    <m/>
    <n v="1518.1977818853975"/>
    <n v="15"/>
    <n v="1264"/>
    <m/>
    <n v="2.59"/>
    <m/>
    <n v="36.26"/>
    <n v="0"/>
    <n v="706"/>
    <m/>
    <n v="177"/>
    <m/>
    <n v="428"/>
    <n v="1"/>
    <n v="0"/>
  </r>
  <r>
    <n v="91"/>
    <s v="Leeukop14June2023"/>
    <s v="Leeukop"/>
    <s v="Cape Fish Processors"/>
    <n v="2303585"/>
    <d v="2023-04-11T00:00:00"/>
    <x v="10"/>
    <n v="284"/>
    <n v="173"/>
    <n v="12934"/>
    <n v="27"/>
    <n v="126"/>
    <n v="138"/>
    <n v="0"/>
    <n v="0"/>
    <n v="0"/>
    <n v="0"/>
    <n v="1336"/>
    <n v="0"/>
    <n v="0"/>
    <n v="0"/>
    <n v="1036"/>
    <n v="20"/>
    <n v="484"/>
    <n v="0"/>
    <n v="2.59"/>
    <n v="0"/>
    <n v="41.44"/>
    <n v="0"/>
    <n v="1148"/>
    <n v="0"/>
    <n v="241"/>
    <n v="0"/>
    <n v="400"/>
    <n v="7"/>
    <n v="0"/>
  </r>
  <r>
    <n v="94"/>
    <s v="Leeukop14June2023"/>
    <s v="Leeukop"/>
    <s v="Cape Fish Processors"/>
    <n v="2303585"/>
    <d v="2023-04-18T00:00:00"/>
    <x v="11"/>
    <n v="159"/>
    <n v="196"/>
    <n v="12308"/>
    <n v="18"/>
    <n v="155"/>
    <n v="0"/>
    <n v="0"/>
    <n v="0"/>
    <n v="0"/>
    <n v="0"/>
    <n v="1148"/>
    <n v="0"/>
    <n v="0"/>
    <n v="0"/>
    <n v="1599"/>
    <n v="15"/>
    <n v="2365"/>
    <n v="0"/>
    <n v="7.77"/>
    <n v="0"/>
    <n v="137.26999999999998"/>
    <n v="0"/>
    <n v="800"/>
    <n v="0"/>
    <n v="194"/>
    <n v="0"/>
    <n v="702"/>
    <n v="3"/>
    <n v="0"/>
  </r>
  <r>
    <n v="97"/>
    <s v="Leeukop14June2023"/>
    <s v="Leeukop"/>
    <s v="Cape Fish Processors"/>
    <n v="2303585"/>
    <d v="2023-04-24T00:00:00"/>
    <x v="28"/>
    <n v="319"/>
    <n v="113"/>
    <n v="6260"/>
    <n v="111"/>
    <n v="47"/>
    <n v="0"/>
    <n v="0"/>
    <n v="0"/>
    <n v="0"/>
    <n v="0"/>
    <n v="580"/>
    <n v="0"/>
    <n v="0"/>
    <n v="0"/>
    <n v="1364"/>
    <n v="38"/>
    <n v="2058"/>
    <n v="0"/>
    <n v="2.59"/>
    <n v="0"/>
    <n v="54.39"/>
    <n v="0"/>
    <n v="2606"/>
    <n v="0"/>
    <n v="1035"/>
    <n v="0"/>
    <n v="338"/>
    <n v="1"/>
    <n v="0"/>
  </r>
  <r>
    <n v="100"/>
    <s v="Leeukop14June2023"/>
    <s v="Leeukop"/>
    <s v="Sea Vuna Fishing"/>
    <n v="2303585"/>
    <d v="2023-05-05T00:00:00"/>
    <x v="29"/>
    <n v="234"/>
    <n v="76"/>
    <n v="11972"/>
    <n v="21"/>
    <n v="387"/>
    <n v="169"/>
    <n v="2"/>
    <n v="0"/>
    <n v="0"/>
    <n v="0"/>
    <n v="2044"/>
    <n v="0"/>
    <n v="0"/>
    <n v="0"/>
    <n v="885"/>
    <n v="466"/>
    <n v="1121"/>
    <n v="0"/>
    <n v="15.54"/>
    <n v="0"/>
    <n v="303.02999999999997"/>
    <n v="0"/>
    <n v="434"/>
    <n v="0"/>
    <n v="237"/>
    <n v="0"/>
    <n v="534"/>
    <n v="74"/>
    <n v="0"/>
  </r>
  <r>
    <n v="103"/>
    <s v="Leeukop14June2023"/>
    <s v="Leeukop"/>
    <s v="Sea Vuna Fishing"/>
    <n v="2303585"/>
    <d v="2023-05-15T00:00:00"/>
    <x v="30"/>
    <n v="8"/>
    <n v="191"/>
    <n v="8283"/>
    <n v="33"/>
    <n v="19"/>
    <n v="0"/>
    <n v="0"/>
    <n v="0"/>
    <n v="0"/>
    <n v="0"/>
    <n v="1164"/>
    <n v="0"/>
    <n v="0"/>
    <n v="0"/>
    <n v="494"/>
    <n v="121"/>
    <n v="458"/>
    <n v="0"/>
    <n v="5.18"/>
    <n v="0"/>
    <n v="90.649999999999991"/>
    <n v="0"/>
    <n v="1016"/>
    <n v="0"/>
    <n v="137"/>
    <n v="0"/>
    <n v="282"/>
    <n v="10"/>
    <n v="0"/>
  </r>
  <r>
    <n v="106"/>
    <s v="Leeukop14June2023"/>
    <s v="Leeukop"/>
    <s v="Cape Fish Processors"/>
    <n v="2303585"/>
    <d v="2023-05-24T00:00:00"/>
    <x v="31"/>
    <n v="156"/>
    <n v="53"/>
    <n v="11038"/>
    <n v="18"/>
    <n v="297"/>
    <n v="330"/>
    <n v="5"/>
    <n v="18"/>
    <n v="0"/>
    <n v="0"/>
    <n v="1768"/>
    <n v="0"/>
    <n v="0"/>
    <n v="0"/>
    <n v="1138"/>
    <n v="106"/>
    <n v="289"/>
    <n v="0"/>
    <n v="2.59"/>
    <n v="0"/>
    <n v="51.8"/>
    <n v="0"/>
    <n v="384"/>
    <n v="0"/>
    <n v="21"/>
    <n v="0"/>
    <n v="224"/>
    <n v="4"/>
    <n v="0"/>
  </r>
  <r>
    <n v="109"/>
    <s v="Amsteldiep14June2023"/>
    <s v="Amsteldiep"/>
    <s v="Sea Vuna Fishing"/>
    <n v="2200197"/>
    <d v="2022-12-28T00:00:00"/>
    <x v="16"/>
    <n v="330"/>
    <n v="0"/>
    <n v="16086"/>
    <n v="5"/>
    <n v="721"/>
    <n v="189"/>
    <n v="0"/>
    <n v="0"/>
    <n v="0"/>
    <n v="0"/>
    <n v="3184"/>
    <n v="2"/>
    <n v="0"/>
    <n v="3"/>
    <n v="117"/>
    <n v="10"/>
    <n v="2075"/>
    <n v="0"/>
    <n v="0"/>
    <n v="0"/>
    <n v="0"/>
    <n v="0"/>
    <n v="502"/>
    <n v="0"/>
    <n v="98"/>
    <n v="0"/>
    <n v="8"/>
    <n v="0"/>
    <n v="0"/>
  </r>
  <r>
    <n v="112"/>
    <s v="Amsteldiep14June2023"/>
    <s v="Amsteldiep"/>
    <s v="Full Deck"/>
    <n v="2300250"/>
    <d v="2023-01-04T00:00:00"/>
    <x v="32"/>
    <n v="472"/>
    <n v="3"/>
    <n v="15685"/>
    <n v="24"/>
    <n v="240"/>
    <n v="303"/>
    <n v="0"/>
    <n v="0"/>
    <n v="0"/>
    <n v="0"/>
    <n v="2132"/>
    <n v="0"/>
    <n v="0"/>
    <n v="0"/>
    <n v="1271"/>
    <n v="0"/>
    <n v="377"/>
    <n v="0"/>
    <n v="0"/>
    <n v="0"/>
    <n v="0"/>
    <n v="0"/>
    <n v="134"/>
    <n v="0"/>
    <n v="150"/>
    <n v="0"/>
    <n v="14"/>
    <n v="0"/>
    <n v="0"/>
  </r>
  <r>
    <n v="115"/>
    <s v="Amsteldiep14June2023"/>
    <s v="Amsteldiep"/>
    <s v="Full Deck"/>
    <n v="2300350"/>
    <d v="2023-01-11T00:00:00"/>
    <x v="17"/>
    <n v="519"/>
    <n v="5"/>
    <n v="14244"/>
    <n v="71"/>
    <n v="1584"/>
    <n v="953"/>
    <n v="0"/>
    <n v="0"/>
    <n v="0"/>
    <n v="0"/>
    <n v="3444"/>
    <n v="0"/>
    <n v="0"/>
    <n v="0"/>
    <n v="1527"/>
    <n v="5"/>
    <n v="3110"/>
    <n v="0"/>
    <n v="0"/>
    <n v="0"/>
    <n v="0"/>
    <n v="0"/>
    <n v="524"/>
    <n v="0"/>
    <n v="100"/>
    <n v="0"/>
    <n v="31"/>
    <n v="0"/>
    <n v="0"/>
  </r>
  <r>
    <n v="118"/>
    <s v="Amsteldiep14June2023"/>
    <s v="Amsteldiep"/>
    <s v="Full Deck"/>
    <n v="2300350"/>
    <d v="2023-01-17T00:00:00"/>
    <x v="33"/>
    <n v="347"/>
    <n v="9"/>
    <n v="16370"/>
    <n v="106"/>
    <n v="1213"/>
    <n v="1304"/>
    <n v="0"/>
    <n v="0"/>
    <n v="0"/>
    <n v="0"/>
    <n v="3564"/>
    <n v="0"/>
    <n v="0"/>
    <n v="0"/>
    <n v="2512"/>
    <n v="40"/>
    <n v="2380"/>
    <n v="0"/>
    <n v="0"/>
    <n v="0"/>
    <n v="0"/>
    <n v="0"/>
    <n v="244"/>
    <n v="0"/>
    <n v="47"/>
    <n v="0"/>
    <n v="54"/>
    <n v="0"/>
    <n v="0"/>
  </r>
  <r>
    <n v="121"/>
    <s v="Amsteldiep14June2023"/>
    <s v="Amsteldiep"/>
    <s v="Full Deck"/>
    <n v="2300250"/>
    <d v="2023-01-25T00:00:00"/>
    <x v="34"/>
    <n v="47"/>
    <n v="3"/>
    <n v="11730"/>
    <n v="52"/>
    <n v="607"/>
    <n v="750"/>
    <n v="0"/>
    <n v="0"/>
    <n v="0"/>
    <n v="0"/>
    <n v="3100"/>
    <n v="0"/>
    <n v="0"/>
    <n v="0"/>
    <n v="2541"/>
    <n v="90"/>
    <n v="771"/>
    <n v="0"/>
    <n v="0"/>
    <n v="0"/>
    <n v="0"/>
    <n v="0"/>
    <n v="676"/>
    <n v="0"/>
    <n v="46"/>
    <n v="6"/>
    <n v="135"/>
    <n v="0"/>
    <n v="0"/>
  </r>
  <r>
    <n v="124"/>
    <s v="Amsteldiep14June2023"/>
    <s v="Amsteldiep"/>
    <s v="Full Deck"/>
    <n v="2300250"/>
    <d v="2023-02-01T00:00:00"/>
    <x v="35"/>
    <n v="95"/>
    <n v="1"/>
    <n v="11273"/>
    <n v="91"/>
    <n v="165"/>
    <n v="1018"/>
    <n v="0"/>
    <n v="4"/>
    <n v="0"/>
    <n v="0"/>
    <n v="3036"/>
    <n v="2"/>
    <n v="0"/>
    <n v="0"/>
    <n v="1295"/>
    <n v="18"/>
    <n v="954"/>
    <n v="0"/>
    <n v="0"/>
    <n v="0"/>
    <n v="0"/>
    <n v="0"/>
    <n v="218"/>
    <n v="0"/>
    <n v="19"/>
    <n v="0"/>
    <n v="19"/>
    <n v="0"/>
    <n v="0"/>
  </r>
  <r>
    <n v="127"/>
    <s v="Amsteldiep14June2023"/>
    <s v="Amsteldiep"/>
    <s v="Full Deck"/>
    <n v="2300250"/>
    <d v="2023-02-08T00:00:00"/>
    <x v="21"/>
    <n v="26"/>
    <n v="0"/>
    <n v="23802"/>
    <n v="278"/>
    <n v="130"/>
    <n v="196"/>
    <n v="0"/>
    <n v="0"/>
    <n v="0"/>
    <n v="0"/>
    <n v="52"/>
    <n v="407"/>
    <n v="0"/>
    <n v="0"/>
    <n v="31"/>
    <n v="0"/>
    <n v="95"/>
    <n v="0"/>
    <n v="0"/>
    <n v="0"/>
    <n v="0"/>
    <n v="0"/>
    <n v="166"/>
    <n v="0"/>
    <n v="12"/>
    <n v="0"/>
    <n v="0"/>
    <n v="0"/>
    <n v="0"/>
  </r>
  <r>
    <n v="130"/>
    <s v="Amsteldiep14June2023"/>
    <s v="Amsteldiep"/>
    <s v="Full Deck"/>
    <n v="2300250"/>
    <d v="2023-02-15T00:00:00"/>
    <x v="36"/>
    <n v="0"/>
    <n v="0"/>
    <n v="2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0"/>
    <s v="Amsteldiep14June2023"/>
    <s v="Amsteldiep"/>
    <s v="Boloko Trading"/>
    <n v="2301591"/>
    <d v="2023-02-15T00:00:00"/>
    <x v="36"/>
    <n v="184"/>
    <n v="0"/>
    <n v="5679"/>
    <n v="30"/>
    <n v="154"/>
    <n v="138"/>
    <n v="0"/>
    <n v="0"/>
    <n v="0"/>
    <n v="0"/>
    <n v="160"/>
    <n v="0"/>
    <n v="0"/>
    <n v="0"/>
    <n v="274"/>
    <n v="0"/>
    <n v="1447"/>
    <n v="0"/>
    <n v="0"/>
    <n v="0"/>
    <n v="0"/>
    <n v="0"/>
    <n v="438"/>
    <n v="16"/>
    <n v="200"/>
    <n v="0"/>
    <n v="51"/>
    <n v="0"/>
    <n v="0"/>
  </r>
  <r>
    <n v="133"/>
    <s v="Amsteldiep14June2023"/>
    <s v="Amsteldiep"/>
    <s v="Boloko Trading"/>
    <n v="2301591"/>
    <d v="2023-02-23T00:00:00"/>
    <x v="37"/>
    <n v="201"/>
    <n v="0"/>
    <n v="11179"/>
    <n v="388"/>
    <n v="233"/>
    <n v="114"/>
    <n v="0"/>
    <n v="0"/>
    <n v="0"/>
    <n v="0"/>
    <n v="32"/>
    <n v="0"/>
    <n v="0"/>
    <n v="0"/>
    <n v="384"/>
    <n v="8"/>
    <n v="3247"/>
    <n v="0"/>
    <n v="2.59"/>
    <n v="0"/>
    <n v="25.9"/>
    <n v="0"/>
    <n v="334"/>
    <n v="0"/>
    <n v="142"/>
    <n v="0"/>
    <n v="69"/>
    <n v="0"/>
    <n v="0"/>
  </r>
  <r>
    <n v="136"/>
    <s v="Amsteldiep14June2023"/>
    <s v="Amsteldiep"/>
    <s v="Zimele Fishing Enterprises"/>
    <n v="2303706"/>
    <d v="2023-04-24T00:00:00"/>
    <x v="28"/>
    <n v="18"/>
    <n v="4"/>
    <n v="9347"/>
    <n v="93"/>
    <n v="1"/>
    <n v="0"/>
    <n v="0"/>
    <n v="0"/>
    <n v="0"/>
    <n v="0"/>
    <n v="724"/>
    <n v="0"/>
    <n v="0"/>
    <n v="0"/>
    <n v="1029"/>
    <n v="184"/>
    <n v="1305"/>
    <n v="0"/>
    <n v="0"/>
    <n v="0"/>
    <n v="0"/>
    <n v="0"/>
    <n v="874"/>
    <n v="0"/>
    <n v="191"/>
    <n v="0"/>
    <n v="571"/>
    <n v="0"/>
    <n v="0"/>
  </r>
  <r>
    <n v="139"/>
    <s v="Amsteldiep14June2023"/>
    <s v="Amsteldiep"/>
    <s v="Zimele Fishing Enterprises"/>
    <n v="2303706"/>
    <d v="2023-05-01T00:00:00"/>
    <x v="38"/>
    <n v="90"/>
    <n v="2"/>
    <n v="17124"/>
    <n v="38"/>
    <n v="639"/>
    <n v="550"/>
    <n v="0"/>
    <n v="4"/>
    <n v="0"/>
    <n v="0"/>
    <n v="1144"/>
    <n v="0"/>
    <n v="0"/>
    <n v="0"/>
    <n v="1831"/>
    <n v="56"/>
    <n v="660"/>
    <n v="0"/>
    <n v="0"/>
    <n v="0"/>
    <n v="0"/>
    <n v="0"/>
    <n v="1016"/>
    <n v="0"/>
    <n v="221"/>
    <n v="0"/>
    <n v="107"/>
    <n v="0"/>
    <n v="0"/>
  </r>
  <r>
    <n v="142"/>
    <s v="Amsteldiep14June2023"/>
    <s v="Amsteldiep"/>
    <s v="Zimele Fishing Enterprises"/>
    <n v="2303706"/>
    <d v="2023-05-08T00:00:00"/>
    <x v="39"/>
    <n v="26"/>
    <n v="0"/>
    <n v="4684"/>
    <n v="3"/>
    <n v="24"/>
    <n v="0"/>
    <n v="0"/>
    <n v="0"/>
    <n v="0"/>
    <n v="0"/>
    <n v="60"/>
    <n v="0"/>
    <n v="0"/>
    <n v="0"/>
    <n v="631"/>
    <n v="49"/>
    <n v="66"/>
    <n v="0"/>
    <n v="0"/>
    <n v="0"/>
    <n v="0"/>
    <n v="0"/>
    <n v="238"/>
    <n v="0"/>
    <n v="33"/>
    <n v="0"/>
    <n v="151"/>
    <n v="0"/>
    <n v="0"/>
  </r>
  <r>
    <n v="145"/>
    <s v="Amsteldiep14June2023"/>
    <s v="Amsteldiep"/>
    <s v="Zimele Fishing Enterprises"/>
    <n v="2303706"/>
    <d v="2023-05-14T00:00:00"/>
    <x v="40"/>
    <n v="156"/>
    <n v="0"/>
    <n v="11922"/>
    <n v="59"/>
    <n v="143"/>
    <n v="76"/>
    <n v="2"/>
    <n v="0"/>
    <n v="0"/>
    <n v="0"/>
    <n v="680"/>
    <n v="0"/>
    <n v="0"/>
    <n v="6"/>
    <n v="1193"/>
    <n v="43"/>
    <n v="3934"/>
    <n v="0"/>
    <n v="0"/>
    <n v="0"/>
    <n v="0"/>
    <n v="0"/>
    <n v="1284"/>
    <n v="0"/>
    <n v="269"/>
    <n v="0"/>
    <n v="334"/>
    <n v="0"/>
    <n v="0"/>
  </r>
  <r>
    <n v="148"/>
    <s v="Amsteldiep14June2023"/>
    <s v="Amsteldiep"/>
    <s v="Sea Vuna Fishing"/>
    <n v="2300465"/>
    <d v="2023-05-22T00:00:00"/>
    <x v="41"/>
    <n v="0"/>
    <n v="0"/>
    <n v="7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8"/>
    <s v="Amsteldiep14June2023"/>
    <s v="Amsteldiep"/>
    <s v="Zimele Fishing Enterprises"/>
    <n v="2303706"/>
    <d v="2023-05-22T00:00:00"/>
    <x v="41"/>
    <n v="74"/>
    <n v="1"/>
    <n v="5179"/>
    <n v="9"/>
    <n v="126"/>
    <n v="482"/>
    <n v="0"/>
    <n v="25"/>
    <n v="0"/>
    <n v="0"/>
    <n v="2664"/>
    <n v="0"/>
    <n v="0"/>
    <n v="0"/>
    <n v="1886"/>
    <n v="31"/>
    <n v="261"/>
    <n v="0"/>
    <n v="0"/>
    <n v="0"/>
    <n v="0"/>
    <n v="0"/>
    <n v="348"/>
    <n v="0"/>
    <n v="44"/>
    <n v="0"/>
    <n v="211"/>
    <n v="0"/>
    <n v="0"/>
  </r>
  <r>
    <n v="151"/>
    <s v="VunaChristelle14June2023"/>
    <s v="Christelle"/>
    <s v="Southern Cape Peninsula"/>
    <n v="2207320"/>
    <d v="2022-12-28T00:00:00"/>
    <x v="42"/>
    <n v="527"/>
    <n v="65"/>
    <n v="17057"/>
    <n v="52"/>
    <n v="528"/>
    <n v="172"/>
    <n v="0"/>
    <n v="0"/>
    <n v="0"/>
    <n v="0"/>
    <n v="1484"/>
    <n v="0"/>
    <n v="0"/>
    <n v="5"/>
    <n v="1364"/>
    <n v="810"/>
    <n v="420"/>
    <n v="0"/>
    <n v="0"/>
    <n v="0"/>
    <n v="0"/>
    <n v="0"/>
    <n v="848"/>
    <n v="0"/>
    <n v="158"/>
    <n v="0"/>
    <n v="115"/>
    <n v="2"/>
    <n v="0"/>
  </r>
  <r>
    <n v="154"/>
    <s v="VunaChristelle14June2023"/>
    <s v="Christelle"/>
    <s v="Sea Vuna Fishing"/>
    <n v="2300514"/>
    <d v="2023-01-06T00:00:00"/>
    <x v="43"/>
    <n v="65"/>
    <n v="2"/>
    <n v="6609"/>
    <n v="5"/>
    <n v="51"/>
    <n v="189"/>
    <n v="0"/>
    <n v="0"/>
    <n v="0"/>
    <n v="0"/>
    <n v="924"/>
    <n v="0"/>
    <n v="0"/>
    <n v="0"/>
    <n v="357"/>
    <n v="0"/>
    <n v="155"/>
    <n v="0"/>
    <n v="0"/>
    <n v="0"/>
    <n v="0"/>
    <n v="0"/>
    <n v="40"/>
    <n v="0"/>
    <n v="27"/>
    <n v="0"/>
    <n v="2"/>
    <n v="0"/>
    <n v="0"/>
  </r>
  <r>
    <n v="157"/>
    <s v="VunaChristelle14June2023"/>
    <s v="Christelle"/>
    <s v="Ezabantu"/>
    <n v="2302472"/>
    <d v="2023-02-23T00:00:00"/>
    <x v="37"/>
    <n v="156"/>
    <n v="27"/>
    <n v="11768"/>
    <n v="11"/>
    <n v="1524"/>
    <n v="45"/>
    <n v="0"/>
    <n v="0"/>
    <n v="0"/>
    <n v="0"/>
    <n v="560"/>
    <n v="0"/>
    <n v="0"/>
    <n v="0"/>
    <n v="1161"/>
    <n v="31"/>
    <n v="1625"/>
    <n v="0"/>
    <n v="7.77"/>
    <n v="0"/>
    <n v="124.32"/>
    <n v="0"/>
    <n v="0"/>
    <n v="0"/>
    <n v="26"/>
    <n v="0"/>
    <n v="15"/>
    <n v="1"/>
    <n v="0"/>
  </r>
  <r>
    <n v="160"/>
    <s v="VunaChristelle14June2023"/>
    <s v="Christelle"/>
    <s v="Ezabantu"/>
    <n v="2302472"/>
    <d v="2023-03-02T00:00:00"/>
    <x v="44"/>
    <n v="198"/>
    <n v="16"/>
    <n v="5482"/>
    <n v="11"/>
    <n v="35"/>
    <n v="45"/>
    <n v="0"/>
    <n v="0"/>
    <n v="0"/>
    <n v="0"/>
    <n v="320"/>
    <n v="0"/>
    <n v="0"/>
    <n v="0"/>
    <n v="622"/>
    <n v="6"/>
    <n v="906"/>
    <n v="0"/>
    <n v="15.54"/>
    <n v="0"/>
    <n v="284.89999999999998"/>
    <n v="0"/>
    <n v="698"/>
    <n v="0"/>
    <n v="13"/>
    <n v="0"/>
    <n v="5"/>
    <n v="1"/>
    <n v="0"/>
  </r>
  <r>
    <n v="163"/>
    <s v="VunaChristelle14June2023"/>
    <s v="Christelle"/>
    <s v="Ezabantu"/>
    <n v="2302472"/>
    <d v="2023-03-10T00:00:00"/>
    <x v="25"/>
    <n v="25"/>
    <n v="12"/>
    <n v="9627"/>
    <n v="29"/>
    <n v="69"/>
    <n v="660"/>
    <n v="4"/>
    <n v="0"/>
    <n v="0"/>
    <n v="0"/>
    <n v="924"/>
    <n v="14"/>
    <n v="0"/>
    <n v="0"/>
    <n v="395"/>
    <n v="5"/>
    <n v="35"/>
    <n v="0"/>
    <n v="2.59"/>
    <n v="0"/>
    <n v="36.26"/>
    <n v="0"/>
    <n v="148"/>
    <n v="0"/>
    <n v="106"/>
    <n v="0"/>
    <n v="190"/>
    <n v="0"/>
    <n v="0"/>
  </r>
  <r>
    <n v="166"/>
    <s v="VunaChristelle14June2023"/>
    <s v="Christelle"/>
    <s v="Ezabantu"/>
    <n v="2302472"/>
    <d v="2023-03-18T00:00:00"/>
    <x v="26"/>
    <n v="21"/>
    <n v="3"/>
    <n v="5933"/>
    <n v="33"/>
    <n v="1444"/>
    <n v="100"/>
    <n v="0"/>
    <n v="0"/>
    <n v="0"/>
    <n v="0"/>
    <n v="680"/>
    <n v="5"/>
    <n v="0"/>
    <n v="0"/>
    <n v="364"/>
    <n v="47"/>
    <n v="3364"/>
    <n v="0"/>
    <n v="12.95"/>
    <n v="0"/>
    <n v="253.82"/>
    <n v="0"/>
    <n v="158"/>
    <n v="0"/>
    <n v="383"/>
    <n v="0"/>
    <n v="69"/>
    <n v="0"/>
    <n v="0"/>
  </r>
  <r>
    <n v="169"/>
    <s v="VunaChristelle14June2023"/>
    <s v="Christelle"/>
    <s v="Kalmia Trading"/>
    <n v="2302610"/>
    <d v="2023-03-28T00:00:00"/>
    <x v="45"/>
    <n v="247"/>
    <n v="117"/>
    <n v="13220"/>
    <n v="35"/>
    <n v="783"/>
    <n v="1455"/>
    <n v="0"/>
    <n v="4"/>
    <n v="0"/>
    <n v="0"/>
    <n v="3332"/>
    <n v="0"/>
    <n v="0"/>
    <n v="0"/>
    <n v="1085"/>
    <n v="24"/>
    <n v="1008"/>
    <n v="0"/>
    <n v="0"/>
    <n v="0"/>
    <n v="0"/>
    <n v="0"/>
    <n v="818"/>
    <n v="0"/>
    <n v="30"/>
    <n v="0"/>
    <n v="527"/>
    <n v="0"/>
    <n v="0"/>
  </r>
  <r>
    <n v="172"/>
    <s v="VunaChristelle14June2023"/>
    <s v="Christelle"/>
    <s v="Kalmia Trading"/>
    <n v="2302610"/>
    <d v="2023-04-03T00:00:00"/>
    <x v="27"/>
    <n v="885"/>
    <n v="83"/>
    <n v="14428"/>
    <n v="82"/>
    <n v="419"/>
    <n v="2195"/>
    <n v="0"/>
    <n v="0"/>
    <n v="0"/>
    <n v="0"/>
    <n v="2264"/>
    <n v="0"/>
    <n v="0"/>
    <n v="0"/>
    <n v="1434"/>
    <n v="2"/>
    <n v="986"/>
    <n v="0"/>
    <n v="0"/>
    <n v="0"/>
    <n v="0"/>
    <n v="0"/>
    <n v="1130"/>
    <n v="0"/>
    <n v="145"/>
    <n v="0"/>
    <n v="406"/>
    <n v="0"/>
    <n v="0"/>
  </r>
  <r>
    <n v="175"/>
    <s v="VunaChristelle14June2023"/>
    <s v="Christelle"/>
    <s v="Kalmia Trading"/>
    <n v="2302610"/>
    <d v="2023-04-11T00:00:00"/>
    <x v="10"/>
    <n v="278"/>
    <n v="215"/>
    <n v="11981"/>
    <n v="52"/>
    <n v="71"/>
    <n v="165"/>
    <n v="0"/>
    <n v="0"/>
    <n v="0"/>
    <n v="0"/>
    <n v="864"/>
    <n v="0"/>
    <n v="0"/>
    <n v="0"/>
    <n v="899"/>
    <n v="3"/>
    <n v="282"/>
    <n v="0"/>
    <n v="2.59"/>
    <n v="0"/>
    <n v="69.929999999999993"/>
    <n v="0"/>
    <n v="1032"/>
    <n v="0"/>
    <n v="243"/>
    <n v="0"/>
    <n v="505"/>
    <n v="1"/>
    <n v="0"/>
  </r>
  <r>
    <n v="178"/>
    <s v="VunaChristelle14June2023"/>
    <s v="Christelle"/>
    <s v="Kalmia Trading"/>
    <n v="2302610"/>
    <d v="2023-04-17T00:00:00"/>
    <x v="11"/>
    <n v="197"/>
    <n v="195"/>
    <n v="9606"/>
    <n v="61"/>
    <n v="202"/>
    <n v="1565"/>
    <n v="68"/>
    <n v="0"/>
    <n v="0"/>
    <n v="0"/>
    <n v="828"/>
    <n v="0"/>
    <n v="0"/>
    <n v="0"/>
    <n v="979"/>
    <n v="3"/>
    <n v="2194"/>
    <n v="0"/>
    <n v="2.59"/>
    <n v="0"/>
    <n v="33.67"/>
    <n v="0"/>
    <n v="342"/>
    <n v="0"/>
    <n v="77"/>
    <n v="0"/>
    <n v="455"/>
    <n v="0"/>
    <n v="0"/>
  </r>
  <r>
    <n v="181"/>
    <s v="VunaChristelle14June2023"/>
    <s v="Christelle"/>
    <s v="Kalmia Trading"/>
    <n v="2302610"/>
    <d v="2023-04-24T00:00:00"/>
    <x v="28"/>
    <n v="135"/>
    <n v="135"/>
    <n v="4389"/>
    <n v="50"/>
    <n v="53"/>
    <n v="0"/>
    <n v="0"/>
    <n v="0"/>
    <n v="0"/>
    <n v="0"/>
    <n v="312"/>
    <n v="0"/>
    <n v="0"/>
    <n v="0"/>
    <n v="1186"/>
    <n v="95"/>
    <n v="1012"/>
    <n v="0"/>
    <n v="0"/>
    <n v="0"/>
    <n v="0"/>
    <n v="0"/>
    <n v="1424"/>
    <n v="0"/>
    <n v="101"/>
    <n v="0"/>
    <n v="336"/>
    <n v="1"/>
    <n v="0"/>
  </r>
  <r>
    <n v="184"/>
    <s v="VunaChristelle14June2023"/>
    <s v="Christelle"/>
    <s v="Sea Vuna Fishing"/>
    <n v="2300514"/>
    <d v="2023-05-02T00:00:00"/>
    <x v="46"/>
    <n v="0"/>
    <n v="0"/>
    <n v="13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4"/>
    <s v="VunaChristelle14June2023"/>
    <s v="Christelle"/>
    <s v="Kalmia Trading"/>
    <n v="2302610"/>
    <d v="2023-05-02T00:00:00"/>
    <x v="46"/>
    <n v="104"/>
    <n v="0"/>
    <n v="927"/>
    <n v="40"/>
    <n v="423"/>
    <n v="148"/>
    <n v="0"/>
    <n v="0"/>
    <n v="0"/>
    <n v="0"/>
    <n v="2024"/>
    <n v="0"/>
    <n v="0"/>
    <n v="0"/>
    <n v="715"/>
    <n v="208"/>
    <n v="1619"/>
    <n v="0"/>
    <n v="2.59"/>
    <n v="0"/>
    <n v="23.31"/>
    <n v="0"/>
    <n v="1818"/>
    <n v="0"/>
    <n v="185"/>
    <n v="0"/>
    <n v="198"/>
    <n v="3"/>
    <n v="0"/>
  </r>
  <r>
    <n v="187"/>
    <s v="VunaChristelle14June2023"/>
    <s v="Christelle"/>
    <s v="Ezabantu"/>
    <n v="2302472"/>
    <d v="2023-05-09T00:00:00"/>
    <x v="47"/>
    <n v="145"/>
    <n v="50"/>
    <n v="6001"/>
    <n v="3"/>
    <n v="1"/>
    <n v="0"/>
    <n v="0"/>
    <n v="0"/>
    <n v="0"/>
    <n v="0"/>
    <n v="108"/>
    <n v="0"/>
    <n v="0"/>
    <n v="0"/>
    <n v="116"/>
    <n v="61"/>
    <n v="16"/>
    <n v="0"/>
    <n v="0"/>
    <n v="0"/>
    <n v="0"/>
    <n v="0"/>
    <n v="286"/>
    <n v="0"/>
    <n v="6"/>
    <n v="0"/>
    <n v="294"/>
    <n v="2"/>
    <n v="0"/>
  </r>
  <r>
    <n v="190"/>
    <s v="VunaChristelle14June2023"/>
    <s v="Christelle"/>
    <s v="Ezabantu"/>
    <n v="2302472"/>
    <d v="2023-05-15T00:00:00"/>
    <x v="40"/>
    <n v="3"/>
    <n v="130"/>
    <n v="13247"/>
    <n v="35"/>
    <n v="11"/>
    <n v="0"/>
    <n v="0"/>
    <n v="0"/>
    <n v="0"/>
    <n v="0"/>
    <n v="528"/>
    <n v="0"/>
    <n v="0"/>
    <n v="0"/>
    <n v="209"/>
    <n v="132"/>
    <n v="899"/>
    <n v="0"/>
    <n v="2.59"/>
    <n v="0"/>
    <n v="54.39"/>
    <n v="0"/>
    <n v="382"/>
    <n v="0"/>
    <n v="619"/>
    <n v="0"/>
    <n v="663"/>
    <n v="6"/>
    <n v="0"/>
  </r>
  <r>
    <n v="193"/>
    <s v="VunaChristelle14June2023"/>
    <s v="Christelle"/>
    <s v="Ezabantu"/>
    <n v="2302472"/>
    <d v="2023-05-22T00:00:00"/>
    <x v="41"/>
    <n v="298"/>
    <n v="36"/>
    <n v="9162"/>
    <n v="17"/>
    <n v="210"/>
    <n v="798"/>
    <n v="31"/>
    <n v="75"/>
    <n v="0"/>
    <n v="0"/>
    <n v="1700"/>
    <n v="0"/>
    <n v="0"/>
    <n v="0"/>
    <n v="1070"/>
    <n v="44"/>
    <n v="2048"/>
    <n v="0"/>
    <n v="5.18"/>
    <n v="0"/>
    <n v="101.00999999999999"/>
    <n v="0"/>
    <n v="602"/>
    <n v="0"/>
    <n v="75"/>
    <n v="0"/>
    <n v="261"/>
    <n v="2"/>
    <n v="0"/>
  </r>
  <r>
    <n v="196"/>
    <s v="VunaImbongi14June2023"/>
    <s v="Vuna Imbongi"/>
    <s v="Sea Vuna Fishing"/>
    <n v="220201"/>
    <d v="2023-12-28T00:00:00"/>
    <x v="42"/>
    <n v="0"/>
    <n v="224"/>
    <n v="91"/>
    <n v="2"/>
    <n v="0"/>
    <n v="0"/>
    <n v="0"/>
    <n v="0"/>
    <n v="0"/>
    <n v="0"/>
    <n v="264"/>
    <n v="0"/>
    <n v="0"/>
    <n v="0"/>
    <n v="83"/>
    <n v="23"/>
    <n v="0"/>
    <n v="0"/>
    <n v="0"/>
    <n v="0"/>
    <n v="23.31"/>
    <n v="0"/>
    <n v="1858"/>
    <n v="0"/>
    <n v="0"/>
    <n v="0"/>
    <n v="0"/>
    <n v="0"/>
    <n v="0"/>
  </r>
  <r>
    <n v="199"/>
    <s v="VunaImbongi14June2023"/>
    <s v="Vuna Imbongi"/>
    <s v="Sea Vuna Fishing"/>
    <n v="2300463"/>
    <d v="2023-01-06T00:00:00"/>
    <x v="1"/>
    <n v="18"/>
    <n v="286"/>
    <n v="1207"/>
    <n v="0"/>
    <n v="2"/>
    <n v="0"/>
    <n v="0"/>
    <n v="0"/>
    <n v="0"/>
    <n v="0"/>
    <n v="0"/>
    <n v="0"/>
    <n v="0"/>
    <n v="0"/>
    <n v="3165"/>
    <n v="319"/>
    <n v="345"/>
    <n v="0"/>
    <n v="5.18"/>
    <n v="0"/>
    <n v="106.19"/>
    <n v="0"/>
    <n v="3866"/>
    <n v="2"/>
    <n v="63"/>
    <n v="0"/>
    <n v="388"/>
    <n v="14"/>
    <n v="0"/>
  </r>
  <r>
    <n v="202"/>
    <s v="VunaImbongi14June2023"/>
    <s v="Vuna Imbongi"/>
    <s v="Sea Vuna Fishing"/>
    <n v="2300463"/>
    <d v="2023-01-14T00:00:00"/>
    <x v="48"/>
    <n v="82"/>
    <n v="244"/>
    <n v="2199"/>
    <n v="11"/>
    <n v="3"/>
    <n v="0"/>
    <n v="0"/>
    <n v="0"/>
    <n v="0"/>
    <n v="0"/>
    <n v="380"/>
    <n v="0"/>
    <n v="0"/>
    <n v="5"/>
    <n v="2751"/>
    <n v="98"/>
    <n v="742"/>
    <n v="0"/>
    <n v="5.18"/>
    <n v="0"/>
    <n v="82.88"/>
    <n v="0"/>
    <n v="854"/>
    <n v="0"/>
    <n v="48"/>
    <n v="0"/>
    <n v="323"/>
    <n v="2"/>
    <n v="0"/>
  </r>
  <r>
    <n v="205"/>
    <s v="VunaImbongi14June2023"/>
    <s v="Vuna Imbongi"/>
    <s v="Sea Vuna Fishing"/>
    <n v="2300463"/>
    <d v="2023-01-21T00:00:00"/>
    <x v="3"/>
    <n v="56"/>
    <n v="202"/>
    <n v="1927"/>
    <n v="6"/>
    <n v="4"/>
    <n v="10"/>
    <n v="14"/>
    <n v="0"/>
    <n v="0"/>
    <n v="0"/>
    <n v="240"/>
    <n v="0"/>
    <n v="0"/>
    <n v="0"/>
    <n v="1708"/>
    <n v="98"/>
    <n v="262"/>
    <n v="0"/>
    <n v="5.18"/>
    <n v="0"/>
    <n v="95.83"/>
    <n v="0"/>
    <n v="864"/>
    <n v="0"/>
    <n v="12"/>
    <n v="0"/>
    <n v="370"/>
    <n v="3"/>
    <n v="0"/>
  </r>
  <r>
    <n v="208"/>
    <s v="VunaImbongi14June2023"/>
    <s v="Vuna Imbongi"/>
    <s v="Sea Vuna Fishing"/>
    <n v="2300463"/>
    <d v="2023-02-01T00:00:00"/>
    <x v="49"/>
    <n v="52"/>
    <n v="768"/>
    <n v="1470"/>
    <n v="9"/>
    <n v="0"/>
    <n v="0"/>
    <n v="0"/>
    <n v="0"/>
    <n v="0"/>
    <n v="0"/>
    <n v="264"/>
    <n v="0"/>
    <n v="0"/>
    <n v="0"/>
    <n v="1264"/>
    <n v="170"/>
    <n v="240"/>
    <n v="0"/>
    <n v="10.36"/>
    <n v="0"/>
    <n v="186.48"/>
    <n v="0"/>
    <n v="3684"/>
    <n v="0"/>
    <n v="59"/>
    <n v="0"/>
    <n v="908"/>
    <n v="13"/>
    <n v="0"/>
  </r>
  <r>
    <n v="211"/>
    <s v="VunaImbongi14June2023"/>
    <s v="Vuna Imbongi"/>
    <s v="Sea Vuna Fishing"/>
    <n v="2300463"/>
    <d v="2023-02-11T00:00:00"/>
    <x v="5"/>
    <n v="181"/>
    <n v="429"/>
    <n v="2373"/>
    <n v="2"/>
    <n v="1"/>
    <n v="0"/>
    <n v="0"/>
    <n v="0"/>
    <n v="0"/>
    <n v="0"/>
    <n v="176"/>
    <n v="0"/>
    <n v="0"/>
    <n v="0"/>
    <n v="1494"/>
    <n v="35"/>
    <n v="212"/>
    <n v="0"/>
    <n v="5.18"/>
    <n v="0"/>
    <n v="103.6"/>
    <n v="0"/>
    <n v="798"/>
    <n v="0"/>
    <n v="10"/>
    <n v="0"/>
    <n v="295"/>
    <n v="5"/>
    <n v="0"/>
  </r>
  <r>
    <n v="214"/>
    <s v="VunaImbongi14June2023"/>
    <s v="Vuna Imbongi"/>
    <s v="Sea Vuna Fishing"/>
    <n v="2300463"/>
    <d v="2023-02-18T00:00:00"/>
    <x v="6"/>
    <n v="41"/>
    <n v="1120"/>
    <n v="3708"/>
    <n v="11"/>
    <n v="9"/>
    <n v="0"/>
    <n v="0"/>
    <n v="0"/>
    <n v="0"/>
    <n v="0"/>
    <n v="320"/>
    <n v="0"/>
    <n v="0"/>
    <n v="0"/>
    <n v="2582"/>
    <n v="101"/>
    <n v="300"/>
    <n v="0"/>
    <n v="7.77"/>
    <n v="0"/>
    <n v="157.98999999999998"/>
    <n v="0"/>
    <n v="1984"/>
    <n v="0"/>
    <n v="26"/>
    <n v="0"/>
    <n v="383"/>
    <n v="22"/>
    <n v="0"/>
  </r>
  <r>
    <n v="217"/>
    <s v="VunaImbongi14June2023"/>
    <s v="Vuna Imbongi"/>
    <s v="Sea Vuna Fishing"/>
    <n v="2300463"/>
    <d v="2023-02-27T00:00:00"/>
    <x v="50"/>
    <n v="45"/>
    <n v="1213"/>
    <n v="6301"/>
    <n v="15"/>
    <n v="1"/>
    <n v="0"/>
    <n v="0"/>
    <n v="0"/>
    <n v="0"/>
    <n v="0"/>
    <n v="388"/>
    <n v="0"/>
    <n v="0"/>
    <n v="0"/>
    <n v="827"/>
    <n v="7"/>
    <n v="317"/>
    <n v="0"/>
    <n v="2.59"/>
    <n v="0"/>
    <n v="23.31"/>
    <n v="0"/>
    <n v="1896"/>
    <n v="0"/>
    <n v="63"/>
    <n v="0"/>
    <n v="141"/>
    <n v="68"/>
    <n v="0"/>
  </r>
  <r>
    <n v="220"/>
    <s v="VunaImbongi14June2023"/>
    <s v="Vuna Imbongi"/>
    <s v="Sea Vuna Fishing"/>
    <n v="2300463"/>
    <d v="2023-03-09T00:00:00"/>
    <x v="51"/>
    <n v="275"/>
    <n v="891"/>
    <n v="6790"/>
    <n v="2"/>
    <n v="0"/>
    <n v="0"/>
    <n v="0"/>
    <n v="0"/>
    <n v="0"/>
    <n v="0"/>
    <n v="392"/>
    <n v="0"/>
    <n v="0"/>
    <n v="0"/>
    <n v="710"/>
    <n v="16"/>
    <n v="18"/>
    <n v="0"/>
    <n v="2.59"/>
    <n v="0"/>
    <n v="33.67"/>
    <n v="0"/>
    <n v="776"/>
    <n v="0"/>
    <n v="83"/>
    <n v="0"/>
    <n v="349"/>
    <n v="2"/>
    <n v="0"/>
  </r>
  <r>
    <n v="223"/>
    <s v="VunaImbongi14June2023"/>
    <s v="Vuna Imbongi"/>
    <s v="Sea Vuna Fishing"/>
    <n v="2300463"/>
    <d v="2023-03-29T00:00:00"/>
    <x v="52"/>
    <n v="15"/>
    <n v="1907"/>
    <n v="7179"/>
    <n v="2"/>
    <n v="10"/>
    <n v="0"/>
    <n v="0"/>
    <n v="0"/>
    <n v="0"/>
    <n v="0"/>
    <n v="700"/>
    <n v="0"/>
    <n v="0"/>
    <n v="0"/>
    <n v="505"/>
    <n v="17"/>
    <n v="427"/>
    <n v="0"/>
    <n v="12.95"/>
    <n v="0"/>
    <n v="261.58999999999997"/>
    <n v="0"/>
    <n v="1996"/>
    <n v="0"/>
    <n v="837"/>
    <n v="0"/>
    <n v="493"/>
    <n v="14"/>
    <n v="0"/>
  </r>
  <r>
    <n v="226"/>
    <s v="VunaImbongi14June2023"/>
    <s v="Vuna Imbongi"/>
    <s v="Sea Vuna Fishing"/>
    <n v="2300463"/>
    <d v="2023-04-06T00:00:00"/>
    <x v="53"/>
    <n v="14"/>
    <n v="431"/>
    <n v="5672"/>
    <n v="2"/>
    <n v="3"/>
    <n v="0"/>
    <n v="0"/>
    <n v="0"/>
    <n v="0"/>
    <n v="0"/>
    <n v="508"/>
    <n v="0"/>
    <n v="0"/>
    <n v="0"/>
    <n v="860"/>
    <n v="35"/>
    <n v="51"/>
    <n v="0"/>
    <n v="2.59"/>
    <n v="0"/>
    <n v="33.67"/>
    <n v="0"/>
    <n v="1704"/>
    <n v="0"/>
    <n v="0"/>
    <n v="0"/>
    <n v="328"/>
    <n v="11"/>
    <n v="0"/>
  </r>
  <r>
    <n v="229"/>
    <s v="VunaImbongi14June2023"/>
    <s v="Vuna Imbongi"/>
    <s v="Sea Vuna Fishing"/>
    <n v="2300463"/>
    <d v="2023-04-14T00:00:00"/>
    <x v="54"/>
    <n v="14"/>
    <n v="474"/>
    <n v="4095"/>
    <n v="5"/>
    <n v="36"/>
    <n v="0"/>
    <n v="4"/>
    <n v="0"/>
    <n v="0"/>
    <n v="0"/>
    <n v="492"/>
    <n v="0"/>
    <n v="0"/>
    <n v="0"/>
    <n v="647"/>
    <n v="3"/>
    <n v="748"/>
    <n v="0"/>
    <n v="0"/>
    <n v="0"/>
    <n v="10.36"/>
    <n v="0"/>
    <n v="606"/>
    <n v="0"/>
    <n v="519"/>
    <n v="0"/>
    <n v="223"/>
    <n v="3"/>
    <n v="0"/>
  </r>
  <r>
    <n v="232"/>
    <s v="VunaImbongi14June2023"/>
    <s v="Vuna Imbongi"/>
    <s v="Sea Vuna Fishing"/>
    <n v="2300463"/>
    <d v="2023-04-22T00:00:00"/>
    <x v="55"/>
    <n v="14"/>
    <n v="1509"/>
    <n v="2516"/>
    <n v="21"/>
    <n v="10"/>
    <n v="0"/>
    <n v="0"/>
    <n v="0"/>
    <n v="0"/>
    <n v="0"/>
    <n v="560"/>
    <n v="0"/>
    <n v="0"/>
    <n v="0"/>
    <n v="503"/>
    <n v="86"/>
    <n v="552"/>
    <n v="0"/>
    <n v="5.18"/>
    <n v="0"/>
    <n v="72.52"/>
    <n v="0"/>
    <n v="1602"/>
    <n v="0"/>
    <n v="83"/>
    <n v="0"/>
    <n v="97"/>
    <n v="4"/>
    <n v="0"/>
  </r>
  <r>
    <n v="235"/>
    <s v="VunaImbongi14June2023"/>
    <s v="Vuna Imbongi"/>
    <s v="Sea Vuna Fishing"/>
    <n v="2300463"/>
    <d v="2023-04-28T00:00:00"/>
    <x v="56"/>
    <n v="1"/>
    <n v="1713"/>
    <n v="2200"/>
    <n v="6"/>
    <n v="10"/>
    <n v="0"/>
    <n v="0"/>
    <n v="0"/>
    <n v="0"/>
    <n v="0"/>
    <n v="568"/>
    <n v="0"/>
    <n v="0"/>
    <n v="0"/>
    <n v="449"/>
    <n v="445"/>
    <n v="1018"/>
    <n v="0"/>
    <n v="5.18"/>
    <n v="0"/>
    <n v="85.47"/>
    <n v="0"/>
    <n v="2758"/>
    <n v="0"/>
    <n v="121"/>
    <n v="0"/>
    <n v="272"/>
    <n v="14"/>
    <n v="0"/>
  </r>
  <r>
    <n v="238"/>
    <s v="VunaImbongi14June2023"/>
    <s v="Vuna Imbongi"/>
    <s v="Sea Vuna Fishing"/>
    <n v="2300463"/>
    <d v="2023-05-05T00:00:00"/>
    <x v="47"/>
    <n v="2"/>
    <n v="1486"/>
    <n v="5436"/>
    <n v="0"/>
    <n v="9"/>
    <n v="0"/>
    <n v="0"/>
    <n v="0"/>
    <n v="0"/>
    <n v="0"/>
    <n v="492"/>
    <n v="0"/>
    <n v="0"/>
    <n v="0"/>
    <n v="872"/>
    <n v="440"/>
    <n v="196"/>
    <n v="0"/>
    <n v="2.59"/>
    <n v="0"/>
    <n v="38.849999999999994"/>
    <n v="0"/>
    <n v="1458"/>
    <n v="0"/>
    <n v="133"/>
    <n v="0"/>
    <n v="181"/>
    <n v="15"/>
    <n v="0"/>
  </r>
  <r>
    <n v="241"/>
    <s v="VunaImbongi14June2023"/>
    <s v="Vuna Imbongi"/>
    <s v="Sea Vuna Fishing"/>
    <n v="2300463"/>
    <d v="2023-05-17T00:00:00"/>
    <x v="40"/>
    <n v="2"/>
    <n v="1486"/>
    <n v="5436"/>
    <n v="0"/>
    <n v="9"/>
    <n v="0"/>
    <n v="0"/>
    <n v="0"/>
    <n v="0"/>
    <n v="0"/>
    <n v="492"/>
    <n v="0"/>
    <n v="0"/>
    <n v="0"/>
    <n v="872"/>
    <n v="440"/>
    <n v="196"/>
    <n v="0"/>
    <n v="2.59"/>
    <n v="0"/>
    <n v="38.849999999999994"/>
    <n v="0"/>
    <n v="1458"/>
    <n v="0"/>
    <n v="133"/>
    <n v="0"/>
    <n v="181"/>
    <n v="15"/>
    <n v="0"/>
  </r>
  <r>
    <n v="244"/>
    <s v="VunaImbongi14June2023"/>
    <s v="Vuna Imbongi"/>
    <s v="Sea Vuna Fishing"/>
    <n v="2300463"/>
    <d v="2023-05-23T00:00:00"/>
    <x v="31"/>
    <n v="63"/>
    <n v="435"/>
    <n v="4824"/>
    <n v="3"/>
    <n v="13"/>
    <n v="0"/>
    <n v="0"/>
    <n v="0"/>
    <n v="0"/>
    <n v="0"/>
    <n v="432"/>
    <n v="0"/>
    <n v="0"/>
    <n v="0"/>
    <n v="158"/>
    <n v="148"/>
    <n v="78"/>
    <n v="0"/>
    <n v="2.59"/>
    <n v="0"/>
    <n v="46.62"/>
    <n v="0"/>
    <n v="836"/>
    <n v="0"/>
    <n v="41"/>
    <n v="0"/>
    <n v="349"/>
    <n v="14"/>
    <n v="0"/>
  </r>
  <r>
    <n v="247"/>
    <s v="VunaElita14June2023"/>
    <s v="Vuna Elita"/>
    <s v="Sea Vuna Fishing"/>
    <n v="2300598"/>
    <d v="2023-02-03T00:00:00"/>
    <x v="49"/>
    <n v="26"/>
    <n v="0"/>
    <n v="57463"/>
    <n v="1587"/>
    <n v="20"/>
    <n v="241"/>
    <n v="0"/>
    <n v="0"/>
    <n v="0"/>
    <n v="0"/>
    <n v="4"/>
    <n v="0"/>
    <n v="0"/>
    <n v="0"/>
    <n v="209"/>
    <n v="18"/>
    <n v="1718"/>
    <n v="0"/>
    <n v="0"/>
    <n v="0"/>
    <n v="0"/>
    <n v="0"/>
    <n v="0"/>
    <n v="6"/>
    <n v="26"/>
    <n v="0"/>
    <n v="1"/>
    <n v="0"/>
    <n v="0"/>
  </r>
  <r>
    <n v="250"/>
    <s v="VunaElita14June2023"/>
    <s v="Vuna Elita"/>
    <s v="Sea Vuna Fishing"/>
    <n v="2300598"/>
    <d v="2023-02-16T00:00:00"/>
    <x v="57"/>
    <n v="28"/>
    <n v="0"/>
    <n v="52916"/>
    <n v="1287"/>
    <n v="3043"/>
    <n v="712"/>
    <n v="0"/>
    <n v="0"/>
    <n v="0"/>
    <n v="0"/>
    <n v="0"/>
    <n v="5"/>
    <n v="0"/>
    <n v="0"/>
    <n v="0"/>
    <n v="0"/>
    <n v="2"/>
    <n v="0"/>
    <n v="0"/>
    <n v="0"/>
    <n v="0"/>
    <n v="0"/>
    <n v="0"/>
    <n v="28"/>
    <n v="0"/>
    <n v="0"/>
    <n v="0"/>
    <n v="0"/>
    <n v="0"/>
  </r>
  <r>
    <n v="253"/>
    <s v="VunaElita14June2023"/>
    <s v="Vuna Elita"/>
    <s v="Kalmia Trading"/>
    <n v="2302611"/>
    <d v="2023-02-25T00:00:00"/>
    <x v="58"/>
    <n v="59"/>
    <n v="0"/>
    <n v="51961"/>
    <n v="638"/>
    <n v="1889"/>
    <n v="709"/>
    <n v="0"/>
    <n v="0"/>
    <n v="0"/>
    <n v="0"/>
    <n v="0"/>
    <n v="0"/>
    <n v="0"/>
    <n v="0"/>
    <n v="27"/>
    <n v="0"/>
    <n v="56"/>
    <n v="0"/>
    <n v="0"/>
    <n v="0"/>
    <n v="0"/>
    <n v="0"/>
    <n v="0"/>
    <n v="9"/>
    <n v="2"/>
    <n v="0"/>
    <n v="0"/>
    <n v="0"/>
    <n v="0"/>
  </r>
  <r>
    <n v="256"/>
    <s v="VunaElita14June2023"/>
    <s v="Vuna Elita"/>
    <s v="Kalmia Trading"/>
    <n v="2302611"/>
    <d v="2023-03-03T00:00:00"/>
    <x v="44"/>
    <n v="110"/>
    <n v="0"/>
    <n v="66445"/>
    <n v="351"/>
    <n v="722"/>
    <n v="592"/>
    <n v="5"/>
    <n v="0"/>
    <n v="0"/>
    <n v="0"/>
    <n v="0"/>
    <n v="0"/>
    <n v="0"/>
    <n v="0"/>
    <n v="42"/>
    <n v="0"/>
    <n v="1982"/>
    <n v="0"/>
    <n v="0"/>
    <n v="0"/>
    <n v="0"/>
    <n v="0"/>
    <n v="234"/>
    <n v="6"/>
    <n v="95"/>
    <n v="0"/>
    <n v="85"/>
    <n v="0"/>
    <n v="0"/>
  </r>
  <r>
    <n v="259"/>
    <s v="VunaElita14June2023"/>
    <s v="Vuna Elita"/>
    <s v="Kalmia Trading"/>
    <n v="2302611"/>
    <d v="2023-03-11T00:00:00"/>
    <x v="59"/>
    <n v="89"/>
    <n v="0"/>
    <n v="66434"/>
    <n v="5"/>
    <n v="684"/>
    <n v="843"/>
    <n v="9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</r>
  <r>
    <n v="262"/>
    <s v="VunaElita14June2023"/>
    <s v="Vuna Elita"/>
    <s v="Kalmia Trading"/>
    <n v="2302611"/>
    <d v="2023-03-19T00:00:00"/>
    <x v="60"/>
    <n v="770"/>
    <n v="0"/>
    <n v="16803"/>
    <n v="47"/>
    <n v="5998"/>
    <n v="640"/>
    <n v="16"/>
    <n v="0"/>
    <n v="0"/>
    <n v="0"/>
    <n v="0"/>
    <n v="118"/>
    <n v="0"/>
    <n v="0"/>
    <n v="196"/>
    <n v="23"/>
    <n v="2709"/>
    <n v="0"/>
    <n v="0"/>
    <n v="0"/>
    <n v="0"/>
    <n v="0"/>
    <n v="154"/>
    <n v="11"/>
    <n v="20"/>
    <n v="0"/>
    <n v="2"/>
    <n v="3"/>
    <n v="0"/>
  </r>
  <r>
    <n v="265"/>
    <s v="VunaElita14June2023"/>
    <s v="Vuna Elita"/>
    <s v="Cape Fish Processors"/>
    <n v="2303512"/>
    <d v="2023-03-27T00:00:00"/>
    <x v="52"/>
    <n v="215"/>
    <n v="11"/>
    <n v="12473"/>
    <n v="1062"/>
    <n v="637"/>
    <n v="1035"/>
    <n v="5"/>
    <n v="0"/>
    <n v="0"/>
    <n v="0"/>
    <n v="124"/>
    <n v="0"/>
    <n v="0"/>
    <n v="0"/>
    <n v="543"/>
    <n v="0"/>
    <n v="751"/>
    <n v="0"/>
    <n v="0"/>
    <n v="0"/>
    <n v="0"/>
    <n v="0"/>
    <n v="402"/>
    <n v="5"/>
    <n v="0"/>
    <n v="0"/>
    <n v="75"/>
    <n v="0"/>
    <n v="0"/>
  </r>
  <r>
    <n v="268"/>
    <s v="VunaElita14June2023"/>
    <s v="Vuna Elita"/>
    <s v="Zimele Fishing Enterprises"/>
    <n v="2303704"/>
    <d v="2023-04-04T00:00:00"/>
    <x v="61"/>
    <n v="441"/>
    <n v="1"/>
    <n v="23870"/>
    <n v="860"/>
    <n v="969"/>
    <n v="691"/>
    <n v="0"/>
    <n v="0"/>
    <n v="0"/>
    <n v="0"/>
    <n v="4"/>
    <n v="27"/>
    <n v="10"/>
    <n v="0"/>
    <n v="211"/>
    <n v="0"/>
    <n v="1200"/>
    <n v="0"/>
    <n v="0"/>
    <n v="0"/>
    <n v="0"/>
    <n v="0"/>
    <n v="420"/>
    <n v="9"/>
    <n v="3"/>
    <n v="0"/>
    <n v="0"/>
    <n v="0"/>
    <n v="0"/>
  </r>
  <r>
    <n v="271"/>
    <s v="VunaElita14June2023"/>
    <s v="Vuna Elita"/>
    <s v="Zimele Fishing Enterprises"/>
    <n v="2303704"/>
    <d v="2023-04-12T00:00:00"/>
    <x v="62"/>
    <n v="211"/>
    <n v="0"/>
    <n v="9764"/>
    <n v="2589"/>
    <n v="890"/>
    <n v="4802"/>
    <n v="23152"/>
    <n v="4"/>
    <n v="0"/>
    <n v="0"/>
    <n v="0"/>
    <n v="0"/>
    <n v="0"/>
    <n v="0"/>
    <n v="203"/>
    <n v="0"/>
    <n v="2088"/>
    <n v="0"/>
    <n v="0"/>
    <n v="0"/>
    <n v="0"/>
    <n v="0"/>
    <n v="144"/>
    <n v="30"/>
    <n v="98"/>
    <n v="0"/>
    <n v="15"/>
    <n v="0"/>
    <n v="0"/>
  </r>
  <r>
    <n v="274"/>
    <s v="VunaLiesa14June2023"/>
    <s v="Vuna Liesa"/>
    <s v="Sea Vuna Fishing"/>
    <n v="2300463"/>
    <d v="2023-01-19T00:00:00"/>
    <x v="19"/>
    <n v="5"/>
    <n v="149"/>
    <n v="1096"/>
    <n v="3"/>
    <n v="0"/>
    <n v="0"/>
    <n v="0"/>
    <n v="0"/>
    <n v="0"/>
    <n v="0"/>
    <n v="80"/>
    <n v="0"/>
    <n v="0"/>
    <n v="8"/>
    <n v="1392"/>
    <n v="76"/>
    <n v="259"/>
    <n v="0"/>
    <n v="0"/>
    <n v="0"/>
    <n v="10.36"/>
    <n v="0"/>
    <n v="284"/>
    <n v="0"/>
    <n v="18"/>
    <n v="0"/>
    <n v="175"/>
    <n v="3"/>
    <n v="0"/>
  </r>
  <r>
    <n v="277"/>
    <s v="VunaLiesa14June2023"/>
    <s v="Vuna Liesa"/>
    <s v="Sea Vuna Fishing"/>
    <n v="2300462"/>
    <d v="2023-01-25T00:00:00"/>
    <x v="63"/>
    <n v="0"/>
    <n v="679"/>
    <n v="413"/>
    <n v="0"/>
    <n v="0"/>
    <n v="0"/>
    <n v="0"/>
    <n v="0"/>
    <n v="0"/>
    <n v="0"/>
    <n v="208"/>
    <n v="0"/>
    <n v="0"/>
    <n v="8"/>
    <n v="412"/>
    <n v="49"/>
    <n v="0"/>
    <n v="0"/>
    <n v="5.18"/>
    <n v="0"/>
    <n v="77.699999999999989"/>
    <n v="0"/>
    <n v="1312"/>
    <n v="0"/>
    <n v="1"/>
    <n v="0"/>
    <n v="48"/>
    <n v="1"/>
    <n v="0"/>
  </r>
  <r>
    <n v="280"/>
    <s v="VunaLiesa14June2023"/>
    <s v="Vuna Liesa"/>
    <s v="Sea Vuna Fishing"/>
    <n v="2300462"/>
    <d v="2023-02-01T00:00:00"/>
    <x v="49"/>
    <n v="43"/>
    <n v="1240"/>
    <n v="1206"/>
    <n v="6"/>
    <n v="0"/>
    <n v="0"/>
    <n v="0"/>
    <n v="0"/>
    <n v="0"/>
    <n v="0"/>
    <n v="332"/>
    <n v="0"/>
    <n v="0"/>
    <n v="0"/>
    <n v="1483"/>
    <n v="202"/>
    <n v="151"/>
    <n v="0"/>
    <n v="2.59"/>
    <n v="0"/>
    <n v="67.34"/>
    <n v="0"/>
    <n v="1100"/>
    <n v="0"/>
    <n v="428"/>
    <n v="0"/>
    <n v="549"/>
    <n v="11"/>
    <n v="0"/>
  </r>
  <r>
    <n v="283"/>
    <s v="VunaLiesa14June2023"/>
    <s v="Vuna Liesa"/>
    <s v="Sea Vuna Fishing"/>
    <n v="2300462"/>
    <d v="2023-02-10T00:00:00"/>
    <x v="5"/>
    <n v="35"/>
    <n v="727"/>
    <n v="921"/>
    <n v="0"/>
    <n v="0"/>
    <n v="0"/>
    <n v="0"/>
    <n v="0"/>
    <n v="0"/>
    <n v="0"/>
    <n v="188"/>
    <n v="0"/>
    <n v="0"/>
    <n v="0"/>
    <n v="925"/>
    <n v="146"/>
    <n v="79"/>
    <n v="0"/>
    <n v="12.95"/>
    <n v="0"/>
    <n v="222.73999999999998"/>
    <n v="0"/>
    <n v="3034"/>
    <n v="2"/>
    <n v="11"/>
    <n v="0"/>
    <n v="1124"/>
    <n v="30"/>
    <n v="0"/>
  </r>
  <r>
    <n v="286"/>
    <s v="VunaLiesa14June2023"/>
    <s v="Vuna Liesa"/>
    <s v="Sea Vuna Fishing"/>
    <n v="2300462"/>
    <d v="2023-02-17T00:00:00"/>
    <x v="57"/>
    <n v="21"/>
    <n v="250"/>
    <n v="552"/>
    <n v="3"/>
    <n v="0"/>
    <n v="0"/>
    <n v="0"/>
    <n v="0"/>
    <n v="0"/>
    <n v="0"/>
    <n v="92"/>
    <n v="1"/>
    <n v="0"/>
    <n v="0"/>
    <n v="851"/>
    <n v="10"/>
    <n v="170"/>
    <n v="0"/>
    <n v="2.59"/>
    <n v="0"/>
    <n v="36.26"/>
    <n v="0"/>
    <n v="378"/>
    <n v="0"/>
    <n v="10"/>
    <n v="0"/>
    <n v="148"/>
    <n v="0"/>
    <n v="0"/>
  </r>
  <r>
    <n v="289"/>
    <s v="VunaLiesa14June2023"/>
    <s v="Vuna Liesa"/>
    <s v="Sea Vuna Fishing"/>
    <n v="2300462"/>
    <d v="2023-02-23T00:00:00"/>
    <x v="64"/>
    <n v="157"/>
    <n v="868"/>
    <n v="3450"/>
    <n v="6"/>
    <n v="11"/>
    <n v="0"/>
    <n v="0"/>
    <n v="0"/>
    <n v="0"/>
    <n v="0"/>
    <n v="340"/>
    <n v="2"/>
    <n v="13"/>
    <n v="0"/>
    <n v="1211"/>
    <n v="94"/>
    <n v="247"/>
    <n v="0"/>
    <n v="2.59"/>
    <n v="0"/>
    <n v="62.16"/>
    <n v="0"/>
    <n v="944"/>
    <n v="0"/>
    <n v="156"/>
    <n v="0"/>
    <n v="460"/>
    <n v="39"/>
    <n v="0"/>
  </r>
  <r>
    <n v="292"/>
    <s v="VunaLiesa14June2023"/>
    <s v="Vuna Liesa"/>
    <s v="Sea Vuna Fishing"/>
    <n v="2300462"/>
    <d v="2023-03-01T00:00:00"/>
    <x v="65"/>
    <n v="6"/>
    <n v="783"/>
    <n v="2234"/>
    <n v="8"/>
    <n v="0"/>
    <n v="0"/>
    <n v="0"/>
    <n v="0"/>
    <n v="0"/>
    <n v="0"/>
    <n v="108"/>
    <n v="0"/>
    <n v="1"/>
    <n v="0"/>
    <n v="564"/>
    <n v="3"/>
    <n v="108"/>
    <n v="0"/>
    <n v="2.59"/>
    <n v="0"/>
    <n v="64.75"/>
    <n v="0"/>
    <n v="588"/>
    <n v="0"/>
    <n v="52"/>
    <n v="0"/>
    <n v="75"/>
    <n v="18"/>
    <n v="0"/>
  </r>
  <r>
    <n v="295"/>
    <s v="VunaLiesa14June2023"/>
    <s v="Vuna Liesa"/>
    <s v="Sea Vuna Fishing"/>
    <n v="2300462"/>
    <d v="2023-03-08T00:00:00"/>
    <x v="59"/>
    <n v="301"/>
    <n v="1072"/>
    <n v="4360"/>
    <n v="6"/>
    <n v="0"/>
    <n v="0"/>
    <n v="0"/>
    <n v="0"/>
    <n v="0"/>
    <n v="0"/>
    <n v="280"/>
    <n v="0"/>
    <n v="0"/>
    <n v="0"/>
    <n v="757"/>
    <n v="10"/>
    <n v="18"/>
    <n v="0"/>
    <n v="5.18"/>
    <n v="0"/>
    <n v="75.11"/>
    <n v="0"/>
    <n v="630"/>
    <n v="0"/>
    <n v="18"/>
    <n v="0"/>
    <n v="184"/>
    <n v="10"/>
    <n v="0"/>
  </r>
  <r>
    <n v="298"/>
    <s v="VunaLiesa14June2023"/>
    <s v="Vuna Liesa"/>
    <s v="Sea Vuna Fishing"/>
    <n v="2300462"/>
    <d v="2023-03-29T00:00:00"/>
    <x v="52"/>
    <n v="0"/>
    <n v="679"/>
    <n v="3907"/>
    <n v="0"/>
    <n v="2"/>
    <n v="0"/>
    <n v="0"/>
    <n v="0"/>
    <n v="0"/>
    <n v="0"/>
    <n v="308"/>
    <n v="0"/>
    <n v="4"/>
    <n v="0"/>
    <n v="396"/>
    <n v="25"/>
    <n v="52"/>
    <n v="0"/>
    <n v="5.18"/>
    <n v="0"/>
    <n v="88.06"/>
    <n v="0"/>
    <n v="1074"/>
    <n v="0"/>
    <n v="36"/>
    <n v="0"/>
    <n v="258"/>
    <n v="18"/>
    <n v="0"/>
  </r>
  <r>
    <n v="301"/>
    <s v="VunaLiesa14June2023"/>
    <s v="Vuna Liesa"/>
    <s v="Sea Vuna Fishing"/>
    <n v="2300462"/>
    <d v="2023-04-04T00:00:00"/>
    <x v="61"/>
    <n v="80"/>
    <n v="108"/>
    <n v="4211"/>
    <n v="0"/>
    <n v="0"/>
    <n v="0"/>
    <n v="0"/>
    <n v="0"/>
    <n v="0"/>
    <n v="0"/>
    <n v="260"/>
    <n v="0"/>
    <n v="3"/>
    <n v="0"/>
    <n v="490"/>
    <n v="3"/>
    <n v="1"/>
    <n v="0"/>
    <n v="5.18"/>
    <n v="0"/>
    <n v="72.52"/>
    <n v="0"/>
    <n v="1694"/>
    <n v="0"/>
    <n v="9"/>
    <n v="0"/>
    <n v="11"/>
    <n v="0"/>
    <n v="0"/>
  </r>
  <r>
    <n v="304"/>
    <s v="VunaLiesa14June2023"/>
    <s v="Vuna Liesa"/>
    <s v="Sea Vuna Fishing"/>
    <n v="2300462"/>
    <d v="2023-04-12T00:00:00"/>
    <x v="66"/>
    <n v="5"/>
    <n v="416"/>
    <n v="4465"/>
    <n v="20"/>
    <n v="1"/>
    <n v="0"/>
    <n v="0"/>
    <n v="0"/>
    <n v="0"/>
    <n v="0"/>
    <n v="448"/>
    <n v="0"/>
    <n v="0"/>
    <n v="0"/>
    <n v="323"/>
    <n v="296"/>
    <n v="263"/>
    <n v="0"/>
    <n v="2.59"/>
    <n v="0"/>
    <n v="62.16"/>
    <n v="0"/>
    <n v="922"/>
    <n v="0"/>
    <n v="15"/>
    <n v="0"/>
    <n v="52"/>
    <n v="3"/>
    <n v="0"/>
  </r>
  <r>
    <n v="307"/>
    <s v="VunaLiesa14June2023"/>
    <s v="Vuna Liesa"/>
    <s v="Sea Vuna Fishing"/>
    <n v="2300462"/>
    <d v="2023-04-18T00:00:00"/>
    <x v="67"/>
    <n v="8"/>
    <n v="405"/>
    <n v="5912"/>
    <n v="8"/>
    <n v="18"/>
    <n v="0"/>
    <n v="0"/>
    <n v="0"/>
    <n v="0"/>
    <n v="0"/>
    <n v="432"/>
    <n v="0"/>
    <n v="0"/>
    <n v="0"/>
    <n v="651"/>
    <n v="15"/>
    <n v="400"/>
    <n v="0"/>
    <n v="5.18"/>
    <n v="0"/>
    <n v="80.289999999999992"/>
    <n v="0"/>
    <n v="560"/>
    <n v="0"/>
    <n v="36"/>
    <n v="0"/>
    <n v="191"/>
    <n v="1"/>
    <n v="0"/>
  </r>
  <r>
    <n v="310"/>
    <s v="VunaLiesa14June2023"/>
    <s v="Vuna Liesa"/>
    <s v="Sea Vuna Fishing"/>
    <n v="2300462"/>
    <d v="2023-04-28T00:00:00"/>
    <x v="12"/>
    <n v="0"/>
    <n v="580"/>
    <n v="2519"/>
    <n v="29"/>
    <n v="15"/>
    <n v="0"/>
    <n v="0"/>
    <n v="0"/>
    <n v="0"/>
    <n v="0"/>
    <n v="340"/>
    <n v="0"/>
    <n v="0"/>
    <n v="0"/>
    <n v="409"/>
    <n v="191"/>
    <n v="135"/>
    <n v="0"/>
    <n v="2.59"/>
    <n v="0"/>
    <n v="56.98"/>
    <n v="0"/>
    <n v="830"/>
    <n v="0"/>
    <n v="91"/>
    <n v="0"/>
    <n v="199"/>
    <n v="4"/>
    <n v="0"/>
  </r>
  <r>
    <n v="313"/>
    <s v="VunaLiesa14June2023"/>
    <s v="Vuna Liesa"/>
    <s v="Sea Vuna Fishing"/>
    <n v="2300462"/>
    <d v="2023-05-04T00:00:00"/>
    <x v="46"/>
    <n v="3"/>
    <n v="670"/>
    <n v="6494"/>
    <n v="14"/>
    <n v="15"/>
    <n v="0"/>
    <n v="0"/>
    <n v="0"/>
    <n v="0"/>
    <n v="0"/>
    <n v="452"/>
    <n v="0"/>
    <n v="0"/>
    <n v="0"/>
    <n v="293"/>
    <n v="342"/>
    <n v="461"/>
    <n v="0"/>
    <n v="5.18"/>
    <n v="0"/>
    <n v="95.83"/>
    <n v="0"/>
    <n v="720"/>
    <n v="0"/>
    <n v="114"/>
    <n v="0"/>
    <n v="184"/>
    <n v="1"/>
    <n v="0"/>
  </r>
  <r>
    <n v="316"/>
    <s v="VunaLiesa14June2023"/>
    <s v="Vuna Liesa"/>
    <s v="Sea Vuna Fishing"/>
    <n v="2300462"/>
    <d v="2023-05-09T00:00:00"/>
    <x v="47"/>
    <n v="40"/>
    <n v="32"/>
    <n v="1494"/>
    <n v="0"/>
    <n v="0"/>
    <n v="0"/>
    <n v="0"/>
    <n v="0"/>
    <n v="0"/>
    <n v="0"/>
    <n v="48"/>
    <n v="0"/>
    <n v="0"/>
    <n v="0"/>
    <n v="34"/>
    <n v="2"/>
    <n v="1"/>
    <n v="0"/>
    <n v="0"/>
    <n v="0"/>
    <n v="20.72"/>
    <n v="0"/>
    <n v="26"/>
    <n v="0"/>
    <n v="0"/>
    <n v="0"/>
    <n v="6"/>
    <n v="0"/>
    <n v="0"/>
  </r>
  <r>
    <n v="319"/>
    <s v="VunaLiesa14June2023"/>
    <s v="Vuna Liesa"/>
    <s v="Sea Vuna Fishing"/>
    <n v="2300462"/>
    <d v="2023-05-16T00:00:00"/>
    <x v="14"/>
    <n v="0"/>
    <n v="0"/>
    <n v="4968"/>
    <n v="21"/>
    <n v="0"/>
    <n v="0"/>
    <n v="0"/>
    <n v="0"/>
    <n v="0"/>
    <n v="0"/>
    <n v="1076"/>
    <n v="0"/>
    <n v="0"/>
    <n v="0"/>
    <n v="98"/>
    <n v="39"/>
    <n v="112"/>
    <n v="0"/>
    <n v="0"/>
    <n v="0"/>
    <n v="15.54"/>
    <n v="0"/>
    <n v="332"/>
    <n v="0"/>
    <n v="83"/>
    <n v="0"/>
    <n v="33"/>
    <n v="1"/>
    <n v="0"/>
  </r>
  <r>
    <n v="322"/>
    <s v="VunaLiesa14June2023"/>
    <s v="Vuna Liesa"/>
    <s v="Sea Vuna Fishing"/>
    <n v="2300462"/>
    <d v="2023-05-24T00:00:00"/>
    <x v="31"/>
    <n v="1"/>
    <n v="119"/>
    <n v="3390"/>
    <n v="6"/>
    <n v="2"/>
    <n v="0"/>
    <n v="0"/>
    <n v="0"/>
    <n v="0"/>
    <n v="0"/>
    <n v="104"/>
    <n v="0"/>
    <n v="0"/>
    <n v="0"/>
    <n v="99"/>
    <n v="17"/>
    <n v="61"/>
    <n v="0"/>
    <n v="0"/>
    <n v="0"/>
    <n v="10.36"/>
    <n v="0"/>
    <n v="88"/>
    <n v="0"/>
    <n v="39"/>
    <n v="0"/>
    <n v="76"/>
    <n v="5"/>
    <n v="0"/>
  </r>
  <r>
    <n v="324"/>
    <s v="PortunityJune2023(2)"/>
    <s v="Portunity"/>
    <s v="Sea Vuna Fishing"/>
    <n v="2300550"/>
    <d v="2023-06-21T00:00:00"/>
    <x v="68"/>
    <n v="342"/>
    <n v="0"/>
    <n v="11157"/>
    <n v="50"/>
    <n v="1819"/>
    <n v="0"/>
    <n v="0"/>
    <n v="0"/>
    <n v="3"/>
    <n v="0"/>
    <n v="0"/>
    <n v="0"/>
    <n v="0"/>
    <n v="0"/>
    <n v="1971"/>
    <n v="0"/>
    <n v="11646"/>
    <n v="0"/>
    <n v="59.569999999999993"/>
    <n v="0"/>
    <n v="582.75"/>
    <n v="0"/>
    <n v="670"/>
    <n v="0"/>
    <n v="183"/>
    <n v="0"/>
    <n v="49"/>
    <n v="0"/>
    <n v="0"/>
  </r>
  <r>
    <n v="326"/>
    <s v="PortunityJune2023(1)"/>
    <s v="Portunity"/>
    <s v="Sea Vuna Fishing"/>
    <n v="2300550"/>
    <d v="2023-06-05T00:00:00"/>
    <x v="69"/>
    <n v="360"/>
    <n v="4"/>
    <n v="14070"/>
    <n v="47"/>
    <n v="2933"/>
    <n v="3970"/>
    <n v="742"/>
    <n v="1410"/>
    <n v="682"/>
    <n v="0"/>
    <n v="1192"/>
    <n v="0"/>
    <n v="0"/>
    <n v="0"/>
    <n v="774"/>
    <n v="0"/>
    <n v="1496"/>
    <n v="0"/>
    <n v="69.929999999999993"/>
    <n v="0"/>
    <n v="132.09"/>
    <n v="0"/>
    <n v="428"/>
    <n v="0"/>
    <n v="85"/>
    <n v="0"/>
    <n v="272"/>
    <n v="0"/>
    <n v="0"/>
  </r>
  <r>
    <n v="328"/>
    <s v="PortunityJune2023(1)"/>
    <s v="Portunity"/>
    <s v="Sea Vuna Fishing"/>
    <n v="2300550"/>
    <d v="2023-06-16T00:00:00"/>
    <x v="70"/>
    <n v="389"/>
    <n v="0"/>
    <n v="6620"/>
    <n v="6"/>
    <n v="1801"/>
    <n v="0"/>
    <n v="0"/>
    <n v="11"/>
    <n v="5"/>
    <n v="0"/>
    <n v="0"/>
    <n v="0"/>
    <n v="0"/>
    <n v="0"/>
    <n v="578"/>
    <n v="0"/>
    <n v="6764"/>
    <n v="0"/>
    <n v="54.39"/>
    <n v="0"/>
    <n v="64.75"/>
    <n v="0"/>
    <n v="980"/>
    <n v="0"/>
    <n v="187"/>
    <n v="0"/>
    <n v="54"/>
    <n v="0"/>
    <n v="0"/>
  </r>
  <r>
    <n v="331"/>
    <s v="PortunityJantoJune2023"/>
    <s v="Portunity"/>
    <s v="Sea Harvest Corporation"/>
    <n v="2300320"/>
    <d v="2023-01-26T00:00:00"/>
    <x v="63"/>
    <n v="263"/>
    <n v="0"/>
    <n v="11941"/>
    <n v="58"/>
    <n v="2016"/>
    <n v="826"/>
    <n v="59"/>
    <n v="0"/>
    <n v="0"/>
    <n v="0"/>
    <n v="0"/>
    <n v="0"/>
    <n v="0"/>
    <n v="0"/>
    <n v="2957"/>
    <n v="0"/>
    <n v="1776"/>
    <n v="0"/>
    <n v="0"/>
    <n v="0"/>
    <n v="0"/>
    <n v="0"/>
    <n v="754"/>
    <n v="0"/>
    <n v="29"/>
    <n v="0"/>
    <n v="92"/>
    <n v="0"/>
    <n v="0"/>
  </r>
  <r>
    <n v="331"/>
    <s v="PortunityJantoJune2023"/>
    <s v="Portunity"/>
    <s v="Sea Vuna Fishing"/>
    <n v="2300550"/>
    <d v="2023-01-26T00:00:00"/>
    <x v="6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4"/>
    <s v="PortunityJantoJune2023"/>
    <s v="Portunity"/>
    <s v="Sea Harvest Corporation"/>
    <n v="2300320"/>
    <d v="2023-02-01T00:00:00"/>
    <x v="49"/>
    <n v="209"/>
    <n v="0"/>
    <n v="32357"/>
    <n v="400"/>
    <n v="1359"/>
    <n v="863"/>
    <n v="27"/>
    <n v="0"/>
    <m/>
    <n v="30"/>
    <n v="0"/>
    <n v="0"/>
    <n v="0"/>
    <n v="0"/>
    <m/>
    <n v="0"/>
    <n v="116"/>
    <n v="0"/>
    <n v="0"/>
    <n v="0"/>
    <n v="0"/>
    <n v="0"/>
    <n v="100"/>
    <n v="0"/>
    <n v="27"/>
    <n v="0"/>
    <n v="22"/>
    <n v="0"/>
    <n v="0"/>
  </r>
  <r>
    <n v="334"/>
    <s v="PortunityJantoJune2023"/>
    <s v="Portunity"/>
    <s v="Sea Vuna Fishing"/>
    <n v="2300550"/>
    <d v="2023-02-01T00:00:00"/>
    <x v="49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6"/>
    <s v="PortunityJantoJune2023"/>
    <s v="Portunity"/>
    <s v="Sea Vuna Fishing"/>
    <n v="2300550"/>
    <d v="2023-04-06T00:00:00"/>
    <x v="27"/>
    <n v="585"/>
    <n v="3"/>
    <n v="5936"/>
    <n v="269"/>
    <n v="2510"/>
    <n v="237"/>
    <n v="5"/>
    <n v="0"/>
    <n v="5"/>
    <n v="0"/>
    <n v="0"/>
    <n v="0"/>
    <n v="0"/>
    <n v="0"/>
    <n v="543"/>
    <n v="0"/>
    <n v="3352"/>
    <n v="0"/>
    <n v="0"/>
    <n v="0"/>
    <n v="0"/>
    <n v="0"/>
    <n v="224"/>
    <n v="0"/>
    <n v="37"/>
    <n v="0"/>
    <n v="37"/>
    <n v="0"/>
    <n v="0"/>
  </r>
  <r>
    <n v="338"/>
    <s v="PortunityJantoJune2023"/>
    <s v="Portunity"/>
    <s v="Sea Vuna Fishing"/>
    <n v="2300550"/>
    <d v="2023-04-11T00:00:00"/>
    <x v="10"/>
    <n v="1778"/>
    <n v="0"/>
    <n v="17808"/>
    <n v="184"/>
    <n v="7675"/>
    <n v="464"/>
    <n v="18"/>
    <n v="233"/>
    <n v="0"/>
    <n v="0"/>
    <n v="0"/>
    <n v="0"/>
    <n v="0"/>
    <n v="0"/>
    <n v="288"/>
    <n v="0"/>
    <n v="5226"/>
    <n v="0"/>
    <n v="0"/>
    <n v="0"/>
    <n v="0"/>
    <n v="0"/>
    <n v="348"/>
    <n v="0"/>
    <n v="106"/>
    <n v="0"/>
    <n v="135"/>
    <n v="0"/>
    <n v="0"/>
  </r>
  <r>
    <n v="340"/>
    <s v="PortunityJantoJune2023"/>
    <s v="Portunity"/>
    <s v="Sea Vuna Fishing"/>
    <n v="2300550"/>
    <d v="2023-04-18T00:00:00"/>
    <x v="71"/>
    <n v="130"/>
    <n v="17"/>
    <n v="3660"/>
    <n v="33"/>
    <n v="119"/>
    <n v="372"/>
    <n v="0"/>
    <n v="0"/>
    <n v="0"/>
    <n v="0"/>
    <n v="0"/>
    <n v="0"/>
    <n v="0"/>
    <n v="0"/>
    <n v="350"/>
    <n v="24"/>
    <n v="2886"/>
    <n v="0"/>
    <n v="0"/>
    <n v="0"/>
    <n v="0"/>
    <n v="0"/>
    <n v="358"/>
    <n v="0"/>
    <n v="40"/>
    <n v="0"/>
    <n v="71"/>
    <n v="0"/>
    <n v="0"/>
  </r>
  <r>
    <n v="355"/>
    <s v="PortunityJantoJune2023"/>
    <s v="Portunity"/>
    <s v="Sea Vuna Fishing"/>
    <n v="2300550"/>
    <d v="2023-04-24T00:00:00"/>
    <x v="28"/>
    <n v="330"/>
    <n v="0"/>
    <n v="6477"/>
    <n v="74"/>
    <n v="1937"/>
    <n v="0"/>
    <n v="0"/>
    <n v="0"/>
    <n v="0"/>
    <n v="0"/>
    <n v="0"/>
    <n v="0"/>
    <n v="0"/>
    <n v="0"/>
    <n v="2486"/>
    <n v="0"/>
    <n v="18560"/>
    <n v="0"/>
    <n v="0"/>
    <n v="0"/>
    <n v="0"/>
    <n v="0"/>
    <n v="316"/>
    <n v="0"/>
    <n v="165"/>
    <n v="0"/>
    <n v="124"/>
    <n v="0"/>
    <n v="0"/>
  </r>
  <r>
    <n v="357"/>
    <s v="PortunityJantoJune2023"/>
    <s v="Portunity"/>
    <s v="Sea Vuna Fishing"/>
    <n v="2300550"/>
    <d v="2023-05-03T00:00:00"/>
    <x v="72"/>
    <n v="710"/>
    <n v="0"/>
    <n v="13248"/>
    <n v="27"/>
    <n v="1118"/>
    <n v="0"/>
    <n v="2"/>
    <n v="0"/>
    <n v="25"/>
    <n v="0"/>
    <n v="404"/>
    <n v="0"/>
    <n v="0"/>
    <n v="0"/>
    <n v="1644"/>
    <n v="0"/>
    <n v="13219"/>
    <n v="0"/>
    <n v="0"/>
    <n v="0"/>
    <n v="191.66"/>
    <n v="0"/>
    <n v="472"/>
    <n v="0"/>
    <n v="72"/>
    <n v="0"/>
    <n v="18"/>
    <n v="0"/>
    <n v="0"/>
  </r>
  <r>
    <n v="359"/>
    <s v="PortunityJantoJune2023"/>
    <s v="Portunity"/>
    <s v="Sea Vuna Fishing"/>
    <n v="2300550"/>
    <d v="2023-05-14T00:00:00"/>
    <x v="73"/>
    <n v="643"/>
    <n v="7"/>
    <n v="17774"/>
    <n v="112"/>
    <n v="1174"/>
    <n v="388"/>
    <n v="45"/>
    <n v="47"/>
    <n v="13"/>
    <n v="0"/>
    <n v="2828"/>
    <n v="0"/>
    <n v="0"/>
    <n v="0"/>
    <n v="1025"/>
    <n v="0"/>
    <n v="8459"/>
    <n v="0"/>
    <n v="256.40999999999997"/>
    <n v="0"/>
    <n v="67.34"/>
    <n v="0"/>
    <n v="478"/>
    <n v="0"/>
    <n v="23"/>
    <n v="0"/>
    <n v="133"/>
    <n v="0"/>
    <n v="0"/>
  </r>
  <r>
    <n v="361"/>
    <s v="PortunityJantoJune2023"/>
    <s v="Portunity"/>
    <s v="Sea Vuna Fishing"/>
    <n v="2300550"/>
    <d v="2023-05-31T00:00:00"/>
    <x v="74"/>
    <n v="123"/>
    <n v="2"/>
    <n v="4468"/>
    <n v="17"/>
    <n v="3590"/>
    <n v="69"/>
    <n v="0"/>
    <n v="20"/>
    <n v="0"/>
    <n v="0"/>
    <n v="476"/>
    <n v="0"/>
    <n v="0"/>
    <n v="0"/>
    <n v="322"/>
    <n v="0"/>
    <n v="1369"/>
    <n v="0"/>
    <n v="168.35"/>
    <n v="0"/>
    <n v="23.31"/>
    <n v="0"/>
    <n v="180"/>
    <n v="0"/>
    <n v="356"/>
    <n v="2"/>
    <n v="93"/>
    <n v="0"/>
    <n v="0"/>
  </r>
  <r>
    <n v="363"/>
    <s v="Leonora14June2023"/>
    <s v="Leonora"/>
    <s v="Sea Vuna Fishing"/>
    <n v="2200194"/>
    <d v="2022-12-30T00:00:00"/>
    <x v="0"/>
    <n v="184"/>
    <n v="30"/>
    <n v="11111"/>
    <n v="18"/>
    <n v="377"/>
    <n v="210"/>
    <n v="0"/>
    <n v="3"/>
    <n v="0"/>
    <n v="0"/>
    <n v="2960"/>
    <n v="0"/>
    <n v="0"/>
    <n v="0"/>
    <n v="916"/>
    <n v="0"/>
    <n v="145"/>
    <n v="0"/>
    <n v="2.59"/>
    <n v="0"/>
    <n v="33.67"/>
    <n v="0"/>
    <n v="84"/>
    <n v="0"/>
    <n v="52"/>
    <n v="0"/>
    <n v="18"/>
    <n v="0"/>
    <n v="0"/>
  </r>
  <r>
    <n v="366"/>
    <s v="Leonora14June2023"/>
    <s v="Leonora"/>
    <s v="Sea Vuna Fishing"/>
    <n v="2300585"/>
    <d v="2023-01-06T00:00:00"/>
    <x v="1"/>
    <n v="176"/>
    <n v="102"/>
    <n v="5869"/>
    <n v="8"/>
    <n v="15"/>
    <n v="28"/>
    <n v="0"/>
    <n v="0"/>
    <n v="0"/>
    <n v="0"/>
    <n v="268"/>
    <n v="0"/>
    <n v="0"/>
    <n v="0"/>
    <n v="774"/>
    <n v="56"/>
    <n v="413"/>
    <n v="0"/>
    <n v="12.95"/>
    <n v="0"/>
    <n v="220.14999999999998"/>
    <n v="0"/>
    <n v="3132"/>
    <n v="1"/>
    <n v="74"/>
    <n v="0"/>
    <n v="456"/>
    <n v="6"/>
    <n v="0"/>
  </r>
  <r>
    <n v="369"/>
    <s v="Leonora14June2023"/>
    <s v="Leonora"/>
    <s v="Sea Vuna Fishing"/>
    <n v="2300585"/>
    <d v="2023-01-14T00:00:00"/>
    <x v="2"/>
    <n v="106"/>
    <n v="105"/>
    <n v="8213"/>
    <n v="35"/>
    <n v="45"/>
    <n v="83"/>
    <n v="0"/>
    <n v="0"/>
    <n v="0"/>
    <n v="0"/>
    <n v="424"/>
    <n v="0"/>
    <n v="0"/>
    <n v="0"/>
    <n v="1436"/>
    <n v="244"/>
    <n v="175"/>
    <n v="0"/>
    <n v="2.59"/>
    <n v="0"/>
    <n v="46.62"/>
    <n v="0"/>
    <n v="924"/>
    <n v="0"/>
    <n v="10"/>
    <n v="0"/>
    <n v="296"/>
    <n v="5"/>
    <n v="0"/>
  </r>
  <r>
    <n v="372"/>
    <s v="Leonora14June2023"/>
    <s v="Leonora"/>
    <s v="Sea Vuna Fishing"/>
    <n v="2300585"/>
    <d v="2023-01-21T00:00:00"/>
    <x v="3"/>
    <n v="69"/>
    <n v="8"/>
    <n v="12096"/>
    <n v="21"/>
    <n v="174"/>
    <n v="310"/>
    <n v="0"/>
    <n v="0"/>
    <n v="0"/>
    <n v="0"/>
    <n v="740"/>
    <n v="0"/>
    <n v="0"/>
    <n v="0"/>
    <n v="1411"/>
    <n v="8"/>
    <n v="41"/>
    <n v="0"/>
    <n v="0"/>
    <n v="0"/>
    <n v="23.31"/>
    <n v="0"/>
    <n v="54"/>
    <n v="0"/>
    <n v="10"/>
    <n v="0"/>
    <n v="6"/>
    <n v="1"/>
    <n v="0"/>
  </r>
  <r>
    <n v="375"/>
    <s v="Leonora14June2023"/>
    <s v="Leonora"/>
    <s v="Sea Vuna Fishing"/>
    <n v="2300585"/>
    <d v="2023-02-01T00:00:00"/>
    <x v="49"/>
    <n v="134"/>
    <n v="744"/>
    <n v="5379"/>
    <n v="32"/>
    <n v="14"/>
    <n v="89"/>
    <n v="0"/>
    <n v="0"/>
    <n v="0"/>
    <n v="0"/>
    <n v="328"/>
    <n v="0"/>
    <n v="0"/>
    <n v="0"/>
    <n v="1529"/>
    <n v="353"/>
    <n v="275"/>
    <n v="0"/>
    <n v="5.18"/>
    <n v="0"/>
    <n v="90.649999999999991"/>
    <n v="0"/>
    <n v="1160"/>
    <n v="0"/>
    <n v="507"/>
    <n v="0"/>
    <n v="75"/>
    <n v="17"/>
    <n v="0"/>
  </r>
  <r>
    <n v="378"/>
    <s v="Leonora14June2023"/>
    <s v="Leonora"/>
    <s v="Sea Vuna Fishing"/>
    <n v="2300585"/>
    <d v="2023-02-10T00:00:00"/>
    <x v="75"/>
    <n v="185"/>
    <n v="395"/>
    <n v="7180"/>
    <n v="11"/>
    <n v="12"/>
    <n v="3"/>
    <n v="0"/>
    <n v="0"/>
    <n v="0"/>
    <n v="0"/>
    <n v="236"/>
    <n v="0"/>
    <n v="0"/>
    <n v="0"/>
    <n v="3998"/>
    <n v="23"/>
    <n v="1016"/>
    <n v="0"/>
    <n v="7.77"/>
    <n v="0"/>
    <n v="137.26999999999998"/>
    <n v="0"/>
    <n v="1346"/>
    <n v="0"/>
    <n v="29"/>
    <n v="0"/>
    <n v="394"/>
    <n v="4"/>
    <n v="0"/>
  </r>
  <r>
    <n v="381"/>
    <s v="Leonora14June2023"/>
    <s v="Leonora"/>
    <s v="Boloko Trading"/>
    <n v="2301593"/>
    <d v="2023-02-18T00:00:00"/>
    <x v="23"/>
    <n v="280"/>
    <n v="408"/>
    <n v="8115"/>
    <n v="2"/>
    <n v="7"/>
    <n v="0"/>
    <n v="2"/>
    <n v="0"/>
    <n v="0"/>
    <n v="0"/>
    <n v="236"/>
    <n v="0"/>
    <n v="0"/>
    <n v="0"/>
    <n v="2485"/>
    <n v="17"/>
    <n v="646"/>
    <n v="0"/>
    <n v="12.95"/>
    <n v="0"/>
    <n v="253.82"/>
    <n v="0"/>
    <n v="1018"/>
    <n v="0"/>
    <n v="10"/>
    <n v="0"/>
    <n v="610"/>
    <n v="1"/>
    <n v="0"/>
  </r>
  <r>
    <n v="384"/>
    <s v="Leonora14June2023"/>
    <s v="Leonora"/>
    <s v="Sea Vuna Fishing"/>
    <n v="2300585"/>
    <d v="2023-02-28T00:00:00"/>
    <x v="50"/>
    <n v="95"/>
    <n v="925"/>
    <n v="10626"/>
    <n v="44"/>
    <n v="2"/>
    <n v="0"/>
    <n v="0"/>
    <n v="0"/>
    <n v="0"/>
    <n v="0"/>
    <n v="208"/>
    <n v="0"/>
    <n v="0"/>
    <n v="0"/>
    <n v="916"/>
    <n v="8"/>
    <n v="57"/>
    <n v="0"/>
    <n v="5.18"/>
    <n v="0"/>
    <n v="80.289999999999992"/>
    <n v="0"/>
    <n v="530"/>
    <n v="0"/>
    <n v="132"/>
    <n v="0"/>
    <n v="145"/>
    <n v="10"/>
    <n v="0"/>
  </r>
  <r>
    <n v="387"/>
    <s v="Leonora14June2023"/>
    <s v="Leonora"/>
    <s v="Boloko Trading"/>
    <n v="2301593"/>
    <d v="2023-03-09T00:00:00"/>
    <x v="25"/>
    <n v="264"/>
    <n v="370"/>
    <n v="12470"/>
    <n v="11"/>
    <n v="0"/>
    <n v="0"/>
    <n v="0"/>
    <n v="0"/>
    <n v="0"/>
    <n v="0"/>
    <n v="52"/>
    <n v="0"/>
    <n v="0"/>
    <n v="0"/>
    <n v="755"/>
    <n v="1"/>
    <n v="33"/>
    <n v="0"/>
    <n v="2.59"/>
    <n v="0"/>
    <n v="64.75"/>
    <n v="0"/>
    <n v="124"/>
    <n v="0"/>
    <n v="32"/>
    <n v="0"/>
    <n v="170"/>
    <n v="1"/>
    <n v="0"/>
  </r>
  <r>
    <n v="390"/>
    <s v="Leonora14June2023"/>
    <s v="Leonora"/>
    <s v="Boloko Trading"/>
    <n v="2301593"/>
    <d v="2023-03-27T00:00:00"/>
    <x v="8"/>
    <n v="48"/>
    <n v="395"/>
    <n v="12576"/>
    <n v="0"/>
    <n v="0"/>
    <n v="3"/>
    <n v="0"/>
    <n v="0"/>
    <n v="0"/>
    <n v="0"/>
    <n v="276"/>
    <n v="0"/>
    <n v="0"/>
    <n v="0"/>
    <n v="890"/>
    <n v="2"/>
    <n v="143"/>
    <n v="0"/>
    <n v="2.59"/>
    <n v="0"/>
    <n v="31.08"/>
    <n v="0"/>
    <n v="758"/>
    <n v="0"/>
    <n v="43"/>
    <n v="0"/>
    <n v="471"/>
    <n v="7"/>
    <n v="0"/>
  </r>
  <r>
    <n v="393"/>
    <s v="Leonora14June2023"/>
    <s v="Leonora"/>
    <s v="Boloko Trading"/>
    <n v="2301593"/>
    <d v="2023-04-02T00:00:00"/>
    <x v="76"/>
    <n v="32"/>
    <n v="684"/>
    <n v="9070"/>
    <n v="49"/>
    <n v="2"/>
    <n v="24"/>
    <n v="0"/>
    <n v="0"/>
    <n v="0"/>
    <n v="0"/>
    <n v="440"/>
    <n v="0"/>
    <n v="0"/>
    <n v="0"/>
    <n v="615"/>
    <n v="2"/>
    <n v="748"/>
    <n v="0"/>
    <n v="2.59"/>
    <n v="0"/>
    <n v="25.9"/>
    <n v="0"/>
    <n v="736"/>
    <n v="0"/>
    <n v="123"/>
    <n v="0"/>
    <n v="479"/>
    <n v="6"/>
    <n v="0"/>
  </r>
  <r>
    <n v="396"/>
    <s v="Leonora14June2023"/>
    <s v="Leonora"/>
    <s v="Boloko Trading"/>
    <n v="2301593"/>
    <d v="2023-04-08T00:00:00"/>
    <x v="77"/>
    <n v="156"/>
    <n v="583"/>
    <n v="11352"/>
    <n v="8"/>
    <n v="56"/>
    <n v="0"/>
    <n v="0"/>
    <n v="0"/>
    <n v="0"/>
    <n v="0"/>
    <n v="424"/>
    <n v="0"/>
    <n v="0"/>
    <n v="0"/>
    <n v="1168"/>
    <n v="9"/>
    <n v="854"/>
    <n v="0"/>
    <n v="5.18"/>
    <n v="0"/>
    <n v="95.83"/>
    <n v="0"/>
    <n v="1030"/>
    <n v="0"/>
    <n v="215"/>
    <n v="0"/>
    <n v="416"/>
    <n v="0"/>
    <n v="0"/>
  </r>
  <r>
    <n v="399"/>
    <s v="Leonora14June2023"/>
    <s v="Leonora"/>
    <s v="Sea Vuna Fishing"/>
    <n v="2300585"/>
    <d v="2023-04-14T00:00:00"/>
    <x v="78"/>
    <n v="54"/>
    <n v="559"/>
    <n v="8255"/>
    <n v="26"/>
    <n v="149"/>
    <n v="0"/>
    <n v="0"/>
    <n v="0"/>
    <n v="0"/>
    <n v="0"/>
    <n v="620"/>
    <n v="0"/>
    <n v="0"/>
    <n v="0"/>
    <n v="904"/>
    <n v="1"/>
    <n v="2131"/>
    <n v="0"/>
    <n v="5.18"/>
    <n v="0"/>
    <n v="95.83"/>
    <n v="0"/>
    <n v="274"/>
    <n v="0"/>
    <n v="193"/>
    <n v="0"/>
    <n v="451"/>
    <n v="7"/>
    <n v="0"/>
  </r>
  <r>
    <n v="402"/>
    <s v="Leonora14June2023"/>
    <s v="Leonora"/>
    <s v="Boloko Trading"/>
    <n v="2301593"/>
    <d v="2023-04-19T00:00:00"/>
    <x v="11"/>
    <n v="89"/>
    <n v="257"/>
    <n v="9728"/>
    <n v="21"/>
    <n v="106"/>
    <n v="0"/>
    <n v="0"/>
    <n v="0"/>
    <n v="0"/>
    <n v="0"/>
    <n v="572"/>
    <n v="0"/>
    <n v="0"/>
    <n v="0"/>
    <n v="1001"/>
    <n v="5"/>
    <n v="2119"/>
    <n v="0"/>
    <n v="2.59"/>
    <n v="0"/>
    <n v="56.98"/>
    <n v="0"/>
    <n v="382"/>
    <n v="0"/>
    <n v="119"/>
    <n v="0"/>
    <n v="324"/>
    <n v="1"/>
    <n v="0"/>
  </r>
  <r>
    <n v="405"/>
    <s v="Leonora14June2023"/>
    <s v="Leonora"/>
    <s v="Boloko Trading"/>
    <n v="2301593"/>
    <d v="2023-04-25T00:00:00"/>
    <x v="79"/>
    <n v="109"/>
    <n v="177"/>
    <n v="5383"/>
    <n v="26"/>
    <n v="136"/>
    <n v="0"/>
    <n v="0"/>
    <n v="0"/>
    <n v="0"/>
    <n v="0"/>
    <n v="548"/>
    <n v="0"/>
    <n v="0"/>
    <n v="0"/>
    <n v="1805"/>
    <n v="2"/>
    <n v="2223"/>
    <n v="0"/>
    <n v="12.95"/>
    <n v="0"/>
    <n v="235.69"/>
    <n v="0"/>
    <n v="934"/>
    <n v="0"/>
    <n v="107"/>
    <n v="0"/>
    <n v="353"/>
    <n v="5"/>
    <n v="0"/>
  </r>
  <r>
    <n v="408"/>
    <s v="Leonora14June2023"/>
    <s v="Leonora"/>
    <s v="Boloko Trading"/>
    <n v="2301593"/>
    <d v="2023-05-04T00:00:00"/>
    <x v="46"/>
    <n v="18"/>
    <n v="141"/>
    <n v="9075"/>
    <n v="9"/>
    <n v="49"/>
    <n v="0"/>
    <n v="0"/>
    <n v="0"/>
    <n v="0"/>
    <n v="0"/>
    <n v="1196"/>
    <n v="0"/>
    <n v="0"/>
    <n v="0"/>
    <n v="1197"/>
    <n v="117"/>
    <n v="1369"/>
    <n v="0"/>
    <n v="0"/>
    <n v="0"/>
    <n v="18.13"/>
    <n v="0"/>
    <n v="1284"/>
    <n v="0"/>
    <n v="203"/>
    <n v="0"/>
    <n v="122"/>
    <n v="1"/>
    <n v="0"/>
  </r>
  <r>
    <n v="411"/>
    <s v="Leonora14June2023"/>
    <s v="Leonora"/>
    <s v="Boloko Trading"/>
    <n v="2301593"/>
    <d v="2023-05-09T00:00:00"/>
    <x v="47"/>
    <n v="13"/>
    <n v="35"/>
    <n v="7239"/>
    <n v="0"/>
    <n v="2"/>
    <n v="0"/>
    <n v="0"/>
    <n v="0"/>
    <n v="0"/>
    <n v="0"/>
    <n v="196"/>
    <n v="0"/>
    <n v="0"/>
    <n v="0"/>
    <n v="171"/>
    <n v="7"/>
    <n v="2"/>
    <n v="0"/>
    <n v="0"/>
    <n v="0"/>
    <n v="0"/>
    <n v="0"/>
    <n v="500"/>
    <n v="0"/>
    <n v="3"/>
    <n v="0"/>
    <n v="6"/>
    <n v="0"/>
    <n v="0"/>
  </r>
  <r>
    <n v="414"/>
    <s v="Leonora14June2023"/>
    <s v="Leonora"/>
    <s v="Boloko Trading"/>
    <n v="2301593"/>
    <d v="2023-05-17T00:00:00"/>
    <x v="30"/>
    <n v="0"/>
    <n v="134"/>
    <n v="9201"/>
    <n v="12"/>
    <n v="5"/>
    <n v="0"/>
    <n v="0"/>
    <n v="0"/>
    <n v="0"/>
    <n v="0"/>
    <n v="1028"/>
    <n v="0"/>
    <n v="0"/>
    <n v="0"/>
    <n v="221"/>
    <n v="52"/>
    <n v="400"/>
    <n v="0"/>
    <n v="0"/>
    <n v="0"/>
    <n v="18.13"/>
    <n v="0"/>
    <n v="186"/>
    <n v="0"/>
    <n v="81"/>
    <n v="0"/>
    <n v="137"/>
    <n v="5"/>
    <n v="0"/>
  </r>
  <r>
    <n v="417"/>
    <s v="Leonora14June2023"/>
    <s v="Leonora"/>
    <s v="Boloko Trading"/>
    <n v="2301593"/>
    <d v="2023-05-24T00:00:00"/>
    <x v="31"/>
    <n v="10"/>
    <n v="24"/>
    <n v="7450"/>
    <n v="11"/>
    <n v="42"/>
    <n v="0"/>
    <n v="0"/>
    <n v="0"/>
    <n v="0"/>
    <n v="0"/>
    <n v="716"/>
    <n v="0"/>
    <n v="0"/>
    <n v="0"/>
    <n v="340"/>
    <n v="55"/>
    <n v="1575"/>
    <n v="0"/>
    <n v="5.18"/>
    <n v="0"/>
    <n v="103.6"/>
    <n v="0"/>
    <n v="374"/>
    <n v="0"/>
    <n v="610"/>
    <n v="0"/>
    <n v="164"/>
    <n v="4"/>
    <n v="0"/>
  </r>
  <r>
    <n v="420"/>
    <s v="LadyImeldaJantoMay2023"/>
    <s v="Lady Imelda"/>
    <s v="Sea Vuna Fishing"/>
    <s v="?"/>
    <d v="2023-05-23T00:00:00"/>
    <x v="80"/>
    <n v="0"/>
    <n v="122"/>
    <n v="1419"/>
    <n v="2"/>
    <n v="0"/>
    <n v="0"/>
    <n v="0"/>
    <n v="0"/>
    <n v="0"/>
    <n v="0"/>
    <n v="284"/>
    <n v="0"/>
    <n v="0"/>
    <n v="0"/>
    <n v="41"/>
    <n v="39"/>
    <n v="0"/>
    <n v="0"/>
    <n v="0"/>
    <n v="0"/>
    <n v="28.49"/>
    <n v="0"/>
    <n v="274"/>
    <n v="0"/>
    <n v="14"/>
    <n v="0"/>
    <n v="472"/>
    <n v="0"/>
    <n v="0"/>
  </r>
  <r>
    <n v="422"/>
    <s v="LadyImeldaJantoMay2023"/>
    <s v="Lady Imelda"/>
    <s v="Sea Vuna Fishing"/>
    <s v="?"/>
    <d v="2023-05-27T00:00:00"/>
    <x v="31"/>
    <n v="0"/>
    <n v="475"/>
    <n v="1442"/>
    <n v="0"/>
    <n v="1"/>
    <n v="0"/>
    <n v="0"/>
    <n v="0"/>
    <n v="0"/>
    <n v="0"/>
    <n v="64"/>
    <n v="0"/>
    <n v="0"/>
    <n v="0"/>
    <n v="25"/>
    <n v="50"/>
    <n v="5"/>
    <n v="0"/>
    <n v="0"/>
    <n v="0"/>
    <n v="69.929999999999993"/>
    <n v="0"/>
    <n v="356"/>
    <n v="0"/>
    <n v="0"/>
    <n v="0"/>
    <n v="9"/>
    <n v="0"/>
    <n v="0"/>
  </r>
  <r>
    <n v="424"/>
    <s v="SistersJantoJune2023"/>
    <s v="Sisters"/>
    <s v="Sea Vuna Fishing"/>
    <n v="2300553"/>
    <d v="2023-01-24T00:00:00"/>
    <x v="19"/>
    <n v="25"/>
    <n v="0"/>
    <n v="1499"/>
    <n v="9"/>
    <n v="327"/>
    <n v="0"/>
    <n v="0"/>
    <n v="0"/>
    <n v="0"/>
    <n v="0"/>
    <n v="0"/>
    <n v="0"/>
    <n v="10"/>
    <n v="0"/>
    <n v="76"/>
    <n v="0"/>
    <n v="15"/>
    <n v="0"/>
    <n v="0"/>
    <n v="0"/>
    <n v="0"/>
    <n v="0"/>
    <n v="42"/>
    <n v="0"/>
    <n v="6"/>
    <n v="0"/>
    <n v="1"/>
    <n v="0"/>
    <n v="0"/>
  </r>
  <r>
    <n v="427"/>
    <s v="SistersJantoJune2023"/>
    <s v="Sisters"/>
    <s v="Sea Vuna Fishing"/>
    <n v="2300553"/>
    <d v="2023-01-26T00:00:00"/>
    <x v="81"/>
    <n v="1519"/>
    <n v="0"/>
    <n v="13118"/>
    <n v="44"/>
    <n v="13699"/>
    <n v="671"/>
    <n v="18"/>
    <n v="7"/>
    <n v="751"/>
    <n v="0"/>
    <n v="0"/>
    <n v="0"/>
    <n v="3"/>
    <n v="1"/>
    <n v="616"/>
    <n v="111"/>
    <n v="1179"/>
    <n v="0"/>
    <n v="0"/>
    <n v="0"/>
    <n v="0"/>
    <n v="0"/>
    <n v="382"/>
    <n v="10"/>
    <n v="113"/>
    <n v="0"/>
    <n v="340"/>
    <n v="0"/>
    <n v="0"/>
  </r>
  <r>
    <n v="427"/>
    <s v="SistersJantoJune2023"/>
    <s v="Sisters"/>
    <s v="Sea Harvest Corporation"/>
    <n v="2300310"/>
    <d v="2023-01-26T00:00:00"/>
    <x v="8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0"/>
    <s v="SistersJantoJune2023"/>
    <s v="Sisters"/>
    <s v="Sea Harvest Corporation"/>
    <n v="2300310"/>
    <d v="2023-03-09T00:00:00"/>
    <x v="82"/>
    <n v="61"/>
    <n v="0"/>
    <n v="41870"/>
    <n v="0"/>
    <n v="8109"/>
    <n v="124"/>
    <n v="0"/>
    <n v="0"/>
    <n v="275"/>
    <n v="0"/>
    <n v="0"/>
    <n v="0"/>
    <n v="0"/>
    <n v="0"/>
    <n v="262"/>
    <n v="0"/>
    <n v="292"/>
    <n v="0"/>
    <n v="0"/>
    <n v="0"/>
    <n v="0"/>
    <n v="0"/>
    <n v="444"/>
    <n v="16"/>
    <n v="10"/>
    <n v="0"/>
    <n v="10"/>
    <n v="0"/>
    <n v="0"/>
  </r>
  <r>
    <n v="430"/>
    <s v="SistersJantoJune2023"/>
    <s v="Sisters"/>
    <s v="Sea Vuna Fishing"/>
    <n v="2300553"/>
    <d v="2023-03-09T00:00:00"/>
    <x v="82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3"/>
    <s v="SistersJantoJune2023"/>
    <s v="Sisters"/>
    <s v="Sea Vuna Fishing"/>
    <n v="2300553"/>
    <d v="2023-03-25T00:00:00"/>
    <x v="83"/>
    <n v="298"/>
    <n v="0"/>
    <n v="3838"/>
    <n v="0"/>
    <n v="6433"/>
    <n v="79"/>
    <n v="11"/>
    <n v="0"/>
    <n v="153"/>
    <n v="0"/>
    <n v="0"/>
    <n v="0"/>
    <n v="144"/>
    <n v="0"/>
    <n v="217"/>
    <n v="0"/>
    <n v="1539"/>
    <n v="0"/>
    <n v="0"/>
    <n v="0"/>
    <n v="0"/>
    <n v="0"/>
    <n v="838"/>
    <n v="0"/>
    <n v="66"/>
    <n v="0"/>
    <n v="5"/>
    <n v="0"/>
    <n v="0"/>
  </r>
  <r>
    <n v="436"/>
    <s v="SistersJantoJune2023"/>
    <s v="Sisters"/>
    <s v="Sea Vuna Fishing"/>
    <n v="2300553"/>
    <d v="2023-03-29T00:00:00"/>
    <x v="8"/>
    <n v="536"/>
    <n v="8"/>
    <n v="9121"/>
    <n v="85"/>
    <n v="12561"/>
    <n v="372"/>
    <n v="9"/>
    <n v="1266"/>
    <n v="22"/>
    <n v="0"/>
    <n v="0"/>
    <n v="0"/>
    <n v="213"/>
    <n v="0"/>
    <n v="358"/>
    <n v="0"/>
    <n v="3419"/>
    <n v="0"/>
    <n v="0"/>
    <n v="0"/>
    <n v="0"/>
    <n v="0"/>
    <n v="1276"/>
    <n v="0"/>
    <n v="76"/>
    <n v="0"/>
    <n v="200"/>
    <n v="0"/>
    <n v="0"/>
  </r>
  <r>
    <n v="438"/>
    <s v="SistersJantoJune2023"/>
    <s v="Sisters"/>
    <s v="Sea Vuna Fishing"/>
    <n v="2300553"/>
    <d v="2023-04-02T00:00:00"/>
    <x v="84"/>
    <n v="528"/>
    <n v="0"/>
    <n v="5349"/>
    <n v="30"/>
    <n v="11928"/>
    <n v="320"/>
    <n v="14"/>
    <m/>
    <n v="13"/>
    <n v="0"/>
    <n v="0"/>
    <m/>
    <m/>
    <n v="0"/>
    <n v="0"/>
    <n v="0"/>
    <n v="598"/>
    <n v="0"/>
    <n v="23.31"/>
    <n v="0"/>
    <n v="25.9"/>
    <n v="0"/>
    <n v="58"/>
    <n v="0"/>
    <n v="3"/>
    <n v="0"/>
    <n v="48"/>
    <n v="0"/>
    <n v="0"/>
  </r>
  <r>
    <n v="440"/>
    <s v="SistersJantoJune2023"/>
    <s v="Sisters"/>
    <s v="Sea Vuna Fishing"/>
    <n v="2300553"/>
    <d v="2023-04-06T00:00:00"/>
    <x v="85"/>
    <n v="1352"/>
    <n v="23"/>
    <n v="10014"/>
    <n v="30"/>
    <n v="14894"/>
    <n v="182"/>
    <n v="0"/>
    <n v="0"/>
    <n v="19"/>
    <n v="0"/>
    <n v="0"/>
    <n v="0"/>
    <n v="392"/>
    <n v="2"/>
    <n v="798"/>
    <n v="0"/>
    <n v="5471"/>
    <n v="0"/>
    <n v="0"/>
    <n v="0"/>
    <n v="0"/>
    <n v="0"/>
    <n v="430"/>
    <n v="0"/>
    <n v="148"/>
    <n v="0"/>
    <n v="220"/>
    <n v="0"/>
    <n v="0"/>
  </r>
  <r>
    <n v="442"/>
    <s v="SistersJantoJune2023"/>
    <s v="Sisters"/>
    <s v="Sea Vuna Fishing"/>
    <n v="2300553"/>
    <d v="2023-04-25T00:00:00"/>
    <x v="79"/>
    <n v="287"/>
    <n v="20"/>
    <n v="7355"/>
    <n v="204"/>
    <n v="12492"/>
    <n v="31"/>
    <n v="5"/>
    <n v="0"/>
    <n v="127"/>
    <n v="0"/>
    <n v="0"/>
    <n v="0"/>
    <n v="0"/>
    <n v="0"/>
    <m/>
    <n v="9"/>
    <n v="7073"/>
    <n v="0"/>
    <n v="25.9"/>
    <n v="0"/>
    <n v="955.70999999999992"/>
    <n v="0"/>
    <n v="1142"/>
    <n v="0"/>
    <n v="73"/>
    <n v="0"/>
    <n v="13"/>
    <n v="0"/>
    <n v="0"/>
  </r>
  <r>
    <n v="444"/>
    <s v="SistersJantoJune2023"/>
    <s v="Sisters"/>
    <s v="Sea Vuna Fishing"/>
    <n v="230055"/>
    <d v="2023-05-05T00:00:00"/>
    <x v="72"/>
    <n v="1274"/>
    <n v="3"/>
    <n v="14439"/>
    <n v="21"/>
    <n v="12955"/>
    <n v="162"/>
    <n v="41"/>
    <n v="0"/>
    <n v="16"/>
    <n v="0"/>
    <n v="0"/>
    <n v="0"/>
    <n v="294"/>
    <n v="0"/>
    <n v="426"/>
    <n v="0"/>
    <n v="2324"/>
    <n v="0"/>
    <n v="0"/>
    <n v="0"/>
    <n v="0"/>
    <n v="0"/>
    <n v="946"/>
    <n v="0"/>
    <n v="44"/>
    <n v="0"/>
    <n v="136"/>
    <n v="0"/>
    <n v="0"/>
  </r>
  <r>
    <n v="446"/>
    <s v="SistersJantoJune2023"/>
    <s v="Sisters"/>
    <s v="Sea Vuna Fishing"/>
    <n v="2300553"/>
    <d v="2023-05-14T00:00:00"/>
    <x v="86"/>
    <n v="580"/>
    <n v="2"/>
    <n v="17323"/>
    <n v="23"/>
    <n v="19588"/>
    <n v="34"/>
    <n v="7"/>
    <n v="6"/>
    <n v="0"/>
    <n v="0"/>
    <n v="0"/>
    <n v="0"/>
    <n v="0"/>
    <n v="0"/>
    <n v="371"/>
    <n v="0"/>
    <n v="54"/>
    <n v="0"/>
    <n v="0"/>
    <n v="0"/>
    <n v="0"/>
    <n v="0"/>
    <n v="452"/>
    <n v="0"/>
    <n v="9"/>
    <n v="0"/>
    <n v="38"/>
    <n v="0"/>
    <n v="0"/>
  </r>
  <r>
    <n v="448"/>
    <s v="SistersJantoJune2023"/>
    <s v="Sisters"/>
    <s v="Sea Vuna Fishing"/>
    <n v="2300553"/>
    <d v="2023-05-21T00:00:00"/>
    <x v="14"/>
    <n v="435"/>
    <n v="2"/>
    <n v="12111"/>
    <n v="32"/>
    <n v="7535"/>
    <n v="52"/>
    <n v="38"/>
    <n v="13"/>
    <n v="0"/>
    <n v="0"/>
    <n v="0"/>
    <n v="0"/>
    <n v="0"/>
    <n v="0"/>
    <n v="678"/>
    <n v="0"/>
    <n v="101"/>
    <n v="0"/>
    <n v="0"/>
    <n v="0"/>
    <n v="0"/>
    <n v="0"/>
    <n v="304"/>
    <n v="0"/>
    <n v="16"/>
    <n v="0"/>
    <n v="21"/>
    <n v="0"/>
    <n v="0"/>
  </r>
  <r>
    <n v="450"/>
    <s v="SistersJantoJune2023"/>
    <s v="Sisters"/>
    <s v="Sea Vuna Fishing"/>
    <n v="2300553"/>
    <d v="2023-05-26T00:00:00"/>
    <x v="87"/>
    <n v="1898"/>
    <n v="0"/>
    <n v="5256"/>
    <n v="39"/>
    <n v="6222"/>
    <n v="38"/>
    <n v="25"/>
    <n v="10"/>
    <n v="291"/>
    <n v="0"/>
    <n v="0"/>
    <n v="0"/>
    <n v="0"/>
    <n v="0"/>
    <n v="1327"/>
    <n v="0"/>
    <n v="13877"/>
    <n v="0"/>
    <n v="0"/>
    <n v="0"/>
    <n v="0"/>
    <n v="0"/>
    <n v="298"/>
    <n v="4"/>
    <n v="104"/>
    <n v="0"/>
    <n v="17"/>
    <n v="0"/>
    <n v="0"/>
  </r>
  <r>
    <n v="452"/>
    <s v="SistersJantoJune2023"/>
    <s v="Sisters"/>
    <s v="Sea Vuna Fishing"/>
    <n v="2300553"/>
    <d v="2023-06-05T00:00:00"/>
    <x v="69"/>
    <n v="1410"/>
    <n v="50"/>
    <n v="8062"/>
    <n v="85"/>
    <n v="9483"/>
    <n v="17"/>
    <n v="2"/>
    <n v="4"/>
    <n v="93"/>
    <n v="0"/>
    <n v="0"/>
    <n v="0"/>
    <n v="21"/>
    <n v="0"/>
    <n v="909"/>
    <n v="4"/>
    <n v="9150"/>
    <n v="0"/>
    <n v="0"/>
    <n v="0"/>
    <n v="0"/>
    <n v="0"/>
    <n v="938"/>
    <n v="9"/>
    <n v="46"/>
    <n v="0"/>
    <n v="41"/>
    <n v="0"/>
    <n v="0"/>
  </r>
  <r>
    <n v="453"/>
    <s v="Sisters13-18July"/>
    <s v="Sisters"/>
    <s v="Sea Vuna Fishing"/>
    <n v="2300553"/>
    <d v="2023-07-13T00:00:00"/>
    <x v="88"/>
    <n v="663"/>
    <n v="0"/>
    <n v="11294"/>
    <n v="30"/>
    <n v="3426"/>
    <n v="619"/>
    <n v="128"/>
    <n v="3"/>
    <n v="293"/>
    <n v="0"/>
    <n v="0"/>
    <n v="0"/>
    <n v="147"/>
    <n v="0"/>
    <n v="183"/>
    <n v="0"/>
    <n v="1441"/>
    <n v="0"/>
    <n v="0"/>
    <n v="0"/>
    <n v="0"/>
    <n v="0"/>
    <n v="928"/>
    <n v="19"/>
    <n v="76"/>
    <n v="0"/>
    <n v="6"/>
    <n v="0"/>
    <n v="0"/>
  </r>
  <r>
    <n v="455"/>
    <s v="Sisters19-26July"/>
    <s v="Sisters"/>
    <s v="Sea Vuna Fishing"/>
    <n v="2300553"/>
    <d v="2023-07-19T00:00:00"/>
    <x v="89"/>
    <n v="285"/>
    <n v="8"/>
    <n v="15069"/>
    <n v="52"/>
    <n v="18684"/>
    <n v="413"/>
    <n v="108"/>
    <n v="484"/>
    <n v="323"/>
    <n v="0"/>
    <n v="0"/>
    <n v="0"/>
    <n v="115"/>
    <n v="0"/>
    <n v="626"/>
    <n v="1"/>
    <n v="1635"/>
    <n v="0"/>
    <n v="0"/>
    <n v="0"/>
    <n v="0"/>
    <n v="0"/>
    <n v="436"/>
    <n v="0"/>
    <n v="386"/>
    <n v="0"/>
    <n v="834"/>
    <n v="0"/>
    <n v="0"/>
  </r>
  <r>
    <n v="457"/>
    <m/>
    <s v="Alayah"/>
    <s v="Ulwandle Inshore (PTY) LTD"/>
    <n v="2304731"/>
    <d v="2023-09-27T00:00:00"/>
    <x v="90"/>
    <n v="0"/>
    <n v="606"/>
    <n v="2294"/>
    <n v="0"/>
    <n v="3"/>
    <n v="0"/>
    <n v="0"/>
    <n v="0"/>
    <n v="0"/>
    <n v="0"/>
    <m/>
    <m/>
    <m/>
    <m/>
    <m/>
    <m/>
    <m/>
    <m/>
    <m/>
    <m/>
    <m/>
    <n v="0"/>
    <m/>
    <m/>
    <m/>
    <m/>
    <m/>
    <m/>
    <m/>
  </r>
  <r>
    <n v="460"/>
    <m/>
    <s v="Portunity"/>
    <s v="Sea Vuna Fishing"/>
    <n v="2300550"/>
    <d v="2023-08-16T00:00:00"/>
    <x v="91"/>
    <n v="226"/>
    <n v="0"/>
    <n v="8633"/>
    <n v="3"/>
    <n v="5904"/>
    <n v="0"/>
    <n v="0"/>
    <n v="113"/>
    <n v="0"/>
    <n v="0"/>
    <n v="0"/>
    <n v="0"/>
    <n v="0"/>
    <n v="0"/>
    <n v="1012"/>
    <n v="0"/>
    <n v="0"/>
    <n v="0"/>
    <n v="0"/>
    <n v="0"/>
    <n v="103.6"/>
    <n v="0"/>
    <n v="878"/>
    <n v="0"/>
    <n v="310"/>
    <n v="0"/>
    <n v="597"/>
    <n v="0"/>
    <n v="0"/>
  </r>
  <r>
    <n v="462"/>
    <m/>
    <s v="Sisters"/>
    <s v="Sea Vuna Fishing"/>
    <n v="2300553"/>
    <d v="2023-08-16T00:00:00"/>
    <x v="92"/>
    <n v="179"/>
    <n v="0"/>
    <n v="11151"/>
    <n v="23"/>
    <n v="16828"/>
    <n v="265"/>
    <n v="47"/>
    <n v="7"/>
    <n v="688"/>
    <n v="0"/>
    <n v="0"/>
    <n v="0"/>
    <n v="969"/>
    <n v="0"/>
    <n v="279"/>
    <n v="9"/>
    <n v="2240"/>
    <n v="0"/>
    <n v="0"/>
    <n v="0"/>
    <n v="0"/>
    <n v="0"/>
    <n v="942"/>
    <n v="0"/>
    <n v="64"/>
    <n v="0"/>
    <n v="3"/>
    <n v="0"/>
    <n v="0"/>
  </r>
  <r>
    <n v="464"/>
    <m/>
    <s v="Sisters"/>
    <s v="E.M.C"/>
    <n v="2308543"/>
    <d v="2023-08-23T00:00:00"/>
    <x v="93"/>
    <n v="131"/>
    <n v="0"/>
    <n v="23753"/>
    <n v="3590"/>
    <n v="12083"/>
    <n v="537"/>
    <n v="590"/>
    <n v="17"/>
    <n v="820"/>
    <n v="0"/>
    <n v="0"/>
    <n v="391"/>
    <n v="0"/>
    <n v="361"/>
    <n v="0"/>
    <n v="6301"/>
    <n v="0"/>
    <n v="0"/>
    <n v="0"/>
    <n v="0"/>
    <n v="0"/>
    <n v="0"/>
    <n v="94"/>
    <n v="0"/>
    <n v="106"/>
    <n v="0"/>
    <n v="66"/>
    <n v="0"/>
    <n v="0"/>
  </r>
  <r>
    <n v="466"/>
    <m/>
    <s v="Portunity"/>
    <s v="Sea Vuna Fishing"/>
    <n v="2300550"/>
    <d v="2023-08-24T00:00:00"/>
    <x v="93"/>
    <n v="45"/>
    <n v="0"/>
    <n v="26957"/>
    <n v="556"/>
    <n v="2257"/>
    <n v="781"/>
    <n v="668"/>
    <n v="0"/>
    <n v="394"/>
    <n v="0"/>
    <n v="156"/>
    <n v="0"/>
    <n v="0"/>
    <n v="0"/>
    <n v="435"/>
    <n v="0"/>
    <n v="3610"/>
    <n v="0"/>
    <n v="0"/>
    <n v="0"/>
    <n v="0"/>
    <n v="0"/>
    <n v="66"/>
    <n v="0"/>
    <n v="71"/>
    <n v="0"/>
    <n v="142"/>
    <n v="0"/>
    <n v="0"/>
  </r>
  <r>
    <n v="469"/>
    <m/>
    <s v="Sisters"/>
    <s v="E.M.C"/>
    <n v="2306843"/>
    <d v="2023-09-02T00:00:00"/>
    <x v="94"/>
    <n v="186"/>
    <n v="0"/>
    <n v="16483"/>
    <n v="3581"/>
    <n v="9852"/>
    <n v="430"/>
    <n v="144"/>
    <n v="0"/>
    <n v="805"/>
    <n v="0"/>
    <n v="304"/>
    <n v="0"/>
    <n v="59"/>
    <n v="0"/>
    <n v="477"/>
    <n v="67"/>
    <n v="6223"/>
    <n v="0"/>
    <n v="0"/>
    <n v="0"/>
    <n v="0"/>
    <n v="0"/>
    <n v="416"/>
    <n v="0"/>
    <n v="246"/>
    <n v="0"/>
    <n v="68"/>
    <n v="0"/>
    <n v="0"/>
  </r>
  <r>
    <n v="469"/>
    <m/>
    <s v="Sisters"/>
    <s v="Sea Vuna Fishing"/>
    <n v="2300553"/>
    <d v="2023-09-02T00:00:00"/>
    <x v="94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1"/>
    <m/>
    <s v="Portunity"/>
    <s v="Sea Vuna Fishing"/>
    <n v="2300550"/>
    <d v="2023-09-07T00:00:00"/>
    <x v="95"/>
    <n v="138"/>
    <n v="0"/>
    <n v="26544"/>
    <n v="1617"/>
    <n v="401"/>
    <n v="664"/>
    <n v="29"/>
    <n v="0"/>
    <n v="494"/>
    <n v="0"/>
    <n v="36"/>
    <n v="0"/>
    <n v="0"/>
    <n v="0"/>
    <n v="503"/>
    <n v="0"/>
    <n v="6587"/>
    <n v="0"/>
    <n v="25.9"/>
    <n v="0"/>
    <n v="67.34"/>
    <n v="0"/>
    <n v="404"/>
    <n v="0"/>
    <n v="143"/>
    <n v="0"/>
    <n v="730"/>
    <n v="0"/>
    <n v="0"/>
  </r>
  <r>
    <n v="473"/>
    <m/>
    <s v="Lady Imelda"/>
    <s v="U.K.I"/>
    <n v="2305890"/>
    <d v="2023-09-12T00:00:00"/>
    <x v="95"/>
    <n v="0"/>
    <n v="0"/>
    <n v="200"/>
    <n v="0"/>
    <n v="0"/>
    <n v="0"/>
    <n v="0"/>
    <n v="0"/>
    <n v="0"/>
    <n v="0"/>
    <n v="180"/>
    <n v="0"/>
    <n v="0"/>
    <n v="0"/>
    <n v="10"/>
    <n v="30"/>
    <n v="0"/>
    <n v="0"/>
    <n v="0"/>
    <n v="0"/>
    <n v="106.19"/>
    <n v="0"/>
    <n v="520"/>
    <n v="0"/>
    <n v="0"/>
    <n v="0"/>
    <n v="0"/>
    <n v="0"/>
    <n v="0"/>
  </r>
  <r>
    <n v="473"/>
    <m/>
    <s v="Lady Imelda"/>
    <s v="Sea Vuna Fishing"/>
    <n v="2300546"/>
    <d v="2023-09-12T00:00:00"/>
    <x v="95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4"/>
    <m/>
    <s v="Lady Imelda"/>
    <s v="U.K.I"/>
    <n v="2305890"/>
    <d v="2023-09-18T00:00:00"/>
    <x v="96"/>
    <n v="6"/>
    <n v="0"/>
    <n v="1218"/>
    <n v="20"/>
    <n v="0"/>
    <n v="0"/>
    <n v="0"/>
    <n v="0"/>
    <n v="0"/>
    <n v="0"/>
    <n v="676"/>
    <n v="0"/>
    <n v="0"/>
    <n v="0"/>
    <n v="127"/>
    <n v="126"/>
    <n v="858"/>
    <n v="0"/>
    <n v="0"/>
    <n v="0"/>
    <n v="334.10999999999996"/>
    <n v="0"/>
    <n v="810"/>
    <n v="0"/>
    <n v="66"/>
    <n v="0"/>
    <n v="6"/>
    <n v="0"/>
    <n v="0"/>
  </r>
  <r>
    <n v="474"/>
    <m/>
    <s v="Lady Imelda"/>
    <s v="Sea Vuna Fishing"/>
    <n v="2300546"/>
    <d v="2023-09-18T00:00:00"/>
    <x v="96"/>
    <n v="0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6"/>
    <m/>
    <s v="Sisters"/>
    <s v="E.M.C"/>
    <n v="2306843"/>
    <d v="2023-09-18T00:00:00"/>
    <x v="96"/>
    <n v="176"/>
    <n v="0"/>
    <n v="4891"/>
    <n v="619"/>
    <n v="6617"/>
    <n v="509"/>
    <n v="533"/>
    <n v="0"/>
    <n v="766"/>
    <n v="0"/>
    <n v="156"/>
    <n v="0"/>
    <n v="9"/>
    <n v="0"/>
    <n v="381"/>
    <n v="15"/>
    <n v="5278"/>
    <n v="0"/>
    <n v="0"/>
    <n v="0"/>
    <n v="0"/>
    <n v="0"/>
    <n v="294"/>
    <n v="0"/>
    <n v="87"/>
    <n v="0"/>
    <n v="228"/>
    <n v="0"/>
    <n v="0"/>
  </r>
  <r>
    <n v="476"/>
    <m/>
    <s v="Sisters"/>
    <s v="Sea Vuna Fishing"/>
    <n v="2300553"/>
    <d v="2023-09-18T00:00:00"/>
    <x v="96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8"/>
    <m/>
    <s v="Sisters"/>
    <s v="E.M.C"/>
    <n v="2306843"/>
    <d v="2023-09-26T00:00:00"/>
    <x v="97"/>
    <n v="133"/>
    <n v="0"/>
    <n v="7207"/>
    <n v="41"/>
    <n v="8145"/>
    <n v="365"/>
    <n v="351"/>
    <n v="594"/>
    <n v="315"/>
    <n v="0"/>
    <n v="972"/>
    <n v="0"/>
    <n v="360"/>
    <n v="0"/>
    <n v="371"/>
    <n v="79"/>
    <n v="8335"/>
    <n v="0"/>
    <n v="0"/>
    <n v="0"/>
    <n v="0"/>
    <n v="0"/>
    <n v="290"/>
    <n v="10"/>
    <n v="1062"/>
    <n v="0"/>
    <n v="711"/>
    <n v="0"/>
    <n v="0"/>
  </r>
  <r>
    <n v="478"/>
    <m/>
    <s v="Sisters"/>
    <s v="Sea Vuna Fishing"/>
    <n v="2300553"/>
    <d v="2023-09-26T00:00:00"/>
    <x v="97"/>
    <n v="0"/>
    <n v="25"/>
    <n v="2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0"/>
    <m/>
    <s v="Portunity"/>
    <s v="U.K.I"/>
    <n v="2305878"/>
    <d v="2023-10-03T00:00:00"/>
    <x v="98"/>
    <n v="142"/>
    <n v="0"/>
    <n v="7480"/>
    <n v="117"/>
    <n v="7439"/>
    <n v="0"/>
    <n v="11"/>
    <n v="65"/>
    <n v="0"/>
    <n v="0"/>
    <n v="560"/>
    <n v="0"/>
    <n v="0"/>
    <n v="0"/>
    <n v="1658"/>
    <n v="269"/>
    <n v="14585"/>
    <n v="0"/>
    <n v="619.01"/>
    <n v="0"/>
    <n v="613.82999999999993"/>
    <n v="0"/>
    <n v="496"/>
    <n v="0"/>
    <n v="995"/>
    <n v="1"/>
    <n v="327"/>
    <n v="0"/>
    <n v="0"/>
  </r>
  <r>
    <n v="480"/>
    <m/>
    <s v="Portunity"/>
    <s v="Sea Vuna Fishing"/>
    <n v="2300550"/>
    <d v="2023-10-03T00:00:00"/>
    <x v="98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2"/>
    <m/>
    <s v="Lady Imelda"/>
    <s v="U.K.I"/>
    <n v="2305690"/>
    <d v="2023-10-11T00:00:00"/>
    <x v="99"/>
    <n v="8"/>
    <n v="0"/>
    <n v="151"/>
    <n v="72"/>
    <n v="0"/>
    <n v="0"/>
    <n v="0"/>
    <n v="0"/>
    <n v="0"/>
    <n v="0"/>
    <n v="168"/>
    <n v="0"/>
    <n v="0"/>
    <n v="0"/>
    <n v="540"/>
    <n v="0"/>
    <n v="29"/>
    <n v="0"/>
    <n v="0"/>
    <n v="0"/>
    <n v="142.44999999999999"/>
    <n v="0"/>
    <n v="1444"/>
    <n v="0"/>
    <n v="2"/>
    <n v="0"/>
    <n v="53"/>
    <n v="0"/>
    <n v="0"/>
  </r>
  <r>
    <n v="482"/>
    <m/>
    <s v="Lady Imelda"/>
    <s v="Sea Vuna Fishing"/>
    <n v="2300546"/>
    <d v="2023-10-11T00:00:00"/>
    <x v="99"/>
    <n v="0"/>
    <n v="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</r>
  <r>
    <n v="484"/>
    <m/>
    <s v="Sisters"/>
    <s v="Sea Vuna Fishing"/>
    <n v="2300553"/>
    <d v="2023-10-10T00:00:00"/>
    <x v="100"/>
    <n v="723"/>
    <n v="44"/>
    <n v="19694"/>
    <n v="36"/>
    <n v="14681"/>
    <n v="870"/>
    <n v="293"/>
    <n v="388"/>
    <n v="314"/>
    <n v="0"/>
    <n v="1604"/>
    <n v="0"/>
    <n v="205"/>
    <n v="5"/>
    <n v="1733"/>
    <n v="4"/>
    <n v="4810"/>
    <n v="0"/>
    <n v="0"/>
    <n v="0"/>
    <n v="0"/>
    <n v="0"/>
    <n v="542"/>
    <n v="0"/>
    <n v="708"/>
    <n v="0"/>
    <n v="214"/>
    <n v="0"/>
    <n v="0"/>
  </r>
  <r>
    <n v="486"/>
    <m/>
    <s v="Portunity"/>
    <s v="U.K.I"/>
    <n v="2305878"/>
    <d v="2023-10-12T00:00:00"/>
    <x v="101"/>
    <n v="277"/>
    <n v="0"/>
    <n v="12366"/>
    <n v="30"/>
    <n v="6950"/>
    <n v="182"/>
    <n v="85"/>
    <n v="169"/>
    <n v="16"/>
    <n v="0"/>
    <n v="1564"/>
    <n v="0"/>
    <n v="0"/>
    <n v="0"/>
    <n v="879"/>
    <n v="10"/>
    <n v="10113"/>
    <n v="0"/>
    <n v="124.32"/>
    <n v="0"/>
    <n v="15.54"/>
    <n v="0"/>
    <n v="1052"/>
    <n v="0"/>
    <n v="1814"/>
    <n v="4"/>
    <n v="121"/>
    <n v="0"/>
    <n v="0"/>
  </r>
  <r>
    <n v="486"/>
    <m/>
    <s v="Portunity"/>
    <s v="Sea Vuna Fishing"/>
    <n v="2300550"/>
    <d v="2023-10-12T00:00:00"/>
    <x v="101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8"/>
    <m/>
    <s v="Sisters"/>
    <s v="Sea Vuna Fishing"/>
    <n v="2300553"/>
    <d v="2023-10-17T00:00:00"/>
    <x v="102"/>
    <n v="572"/>
    <n v="35"/>
    <n v="9180"/>
    <n v="17"/>
    <n v="19030"/>
    <n v="213"/>
    <n v="333"/>
    <n v="248"/>
    <n v="0"/>
    <n v="0"/>
    <n v="1840"/>
    <n v="0"/>
    <n v="29"/>
    <n v="0"/>
    <n v="1470"/>
    <n v="2"/>
    <n v="6271"/>
    <n v="0"/>
    <n v="0"/>
    <n v="0"/>
    <n v="0"/>
    <n v="0"/>
    <n v="360"/>
    <n v="0"/>
    <n v="757"/>
    <n v="0"/>
    <n v="192"/>
    <n v="0"/>
    <n v="0"/>
  </r>
  <r>
    <n v="490"/>
    <m/>
    <s v="Sisters"/>
    <s v="Sea Vuna Fishing"/>
    <n v="2300553"/>
    <d v="2023-11-23T00:00:00"/>
    <x v="103"/>
    <n v="57"/>
    <n v="0"/>
    <n v="2177"/>
    <n v="3"/>
    <n v="1687"/>
    <n v="14"/>
    <n v="9"/>
    <n v="30"/>
    <n v="0"/>
    <n v="0"/>
    <n v="176"/>
    <n v="0"/>
    <n v="0"/>
    <n v="0"/>
    <n v="92"/>
    <n v="0"/>
    <n v="4"/>
    <n v="0"/>
    <n v="0"/>
    <n v="0"/>
    <n v="0"/>
    <n v="0"/>
    <n v="40"/>
    <n v="0"/>
    <n v="1"/>
    <n v="0"/>
    <n v="0"/>
    <n v="0"/>
    <n v="0"/>
  </r>
  <r>
    <n v="494"/>
    <m/>
    <s v="Portunity"/>
    <s v="U.K.I"/>
    <n v="2305878"/>
    <d v="2023-11-17T00:00:00"/>
    <x v="104"/>
    <n v="288"/>
    <n v="0"/>
    <n v="8918"/>
    <n v="23"/>
    <n v="8157"/>
    <n v="28"/>
    <n v="0"/>
    <n v="0"/>
    <n v="10"/>
    <n v="0"/>
    <n v="276"/>
    <n v="0"/>
    <n v="0"/>
    <n v="0"/>
    <n v="455"/>
    <n v="77"/>
    <n v="10668"/>
    <n v="0"/>
    <n v="75.11"/>
    <n v="0"/>
    <n v="20.72"/>
    <n v="0"/>
    <n v="342"/>
    <n v="0"/>
    <n v="726"/>
    <n v="0"/>
    <n v="216"/>
    <n v="0"/>
    <n v="0"/>
  </r>
  <r>
    <n v="496"/>
    <m/>
    <s v="Portunity"/>
    <s v="U.K.I"/>
    <n v="2305878"/>
    <d v="2023-11-23T00:00:00"/>
    <x v="105"/>
    <n v="206"/>
    <n v="0"/>
    <n v="28216"/>
    <n v="459"/>
    <n v="0"/>
    <n v="465"/>
    <n v="0"/>
    <n v="0"/>
    <n v="235"/>
    <n v="0"/>
    <n v="20"/>
    <n v="0"/>
    <n v="0"/>
    <n v="0"/>
    <n v="217"/>
    <n v="0"/>
    <n v="3295"/>
    <n v="0"/>
    <n v="0"/>
    <n v="0"/>
    <n v="0"/>
    <n v="0"/>
    <n v="72"/>
    <n v="0"/>
    <n v="61"/>
    <n v="0"/>
    <n v="9"/>
    <n v="0"/>
    <n v="0"/>
  </r>
  <r>
    <n v="498"/>
    <m/>
    <s v="Lady Imelda"/>
    <s v="U.K.I"/>
    <n v="2308890"/>
    <d v="2023-11-15T00:00:00"/>
    <x v="106"/>
    <n v="39"/>
    <n v="0"/>
    <n v="505"/>
    <n v="0"/>
    <n v="292"/>
    <n v="0"/>
    <n v="0"/>
    <n v="0"/>
    <n v="0"/>
    <n v="0"/>
    <n v="96"/>
    <n v="0"/>
    <n v="0"/>
    <n v="0"/>
    <n v="559"/>
    <n v="134"/>
    <n v="351"/>
    <n v="0"/>
    <n v="0"/>
    <n v="0"/>
    <n v="106.19"/>
    <n v="0"/>
    <n v="570"/>
    <n v="0"/>
    <n v="123"/>
    <n v="0"/>
    <n v="506"/>
    <n v="0"/>
    <n v="0"/>
  </r>
  <r>
    <n v="498"/>
    <m/>
    <s v="Lady Imelda"/>
    <s v="U.K.I"/>
    <n v="2300546"/>
    <d v="2023-11-15T00:00:00"/>
    <x v="106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0"/>
    <m/>
    <s v="Portunity"/>
    <s v="U.K.I"/>
    <n v="2305878"/>
    <d v="2023-11-13T00:00:00"/>
    <x v="107"/>
    <n v="110"/>
    <n v="0"/>
    <n v="3908"/>
    <n v="6"/>
    <n v="4541"/>
    <n v="79"/>
    <n v="0"/>
    <n v="0"/>
    <n v="5"/>
    <n v="0"/>
    <n v="484"/>
    <n v="0"/>
    <n v="0"/>
    <n v="0"/>
    <n v="260"/>
    <n v="0"/>
    <n v="1309"/>
    <n v="0"/>
    <n v="0"/>
    <n v="0"/>
    <n v="0"/>
    <n v="0"/>
    <n v="42"/>
    <n v="0"/>
    <n v="38"/>
    <n v="0"/>
    <n v="6"/>
    <n v="0"/>
    <n v="0"/>
  </r>
  <r>
    <n v="502"/>
    <m/>
    <s v="Sisters"/>
    <s v="Sea Vuna Fishing"/>
    <n v="2300553"/>
    <d v="2023-11-16T00:00:00"/>
    <x v="107"/>
    <n v="13"/>
    <n v="0"/>
    <n v="44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n v="504"/>
    <m/>
    <s v="Sisters"/>
    <s v="Sea Vuna Fishing"/>
    <n v="2300553"/>
    <d v="2023-11-07T00:00:00"/>
    <x v="108"/>
    <n v="1253"/>
    <n v="23"/>
    <n v="8807"/>
    <n v="87"/>
    <n v="19165"/>
    <n v="478"/>
    <n v="254"/>
    <n v="255"/>
    <n v="440"/>
    <n v="0"/>
    <n v="2036"/>
    <n v="0"/>
    <n v="191"/>
    <n v="0"/>
    <n v="434"/>
    <n v="0"/>
    <n v="4716"/>
    <n v="0"/>
    <n v="0"/>
    <n v="0"/>
    <n v="0"/>
    <n v="0"/>
    <n v="198"/>
    <n v="0"/>
    <n v="68"/>
    <n v="0"/>
    <n v="86"/>
    <n v="0"/>
    <n v="0"/>
  </r>
  <r>
    <n v="506"/>
    <m/>
    <s v="Lady Imelda"/>
    <s v="U.K.I"/>
    <n v="2305890"/>
    <d v="2023-10-21T00:00:00"/>
    <x v="109"/>
    <n v="91"/>
    <n v="0"/>
    <n v="283"/>
    <n v="0"/>
    <n v="4"/>
    <n v="0"/>
    <n v="0"/>
    <n v="0"/>
    <n v="0"/>
    <n v="0"/>
    <n v="260"/>
    <n v="0"/>
    <n v="0"/>
    <n v="0"/>
    <n v="920"/>
    <n v="159"/>
    <n v="535"/>
    <n v="0"/>
    <n v="0"/>
    <n v="0"/>
    <n v="678.57999999999993"/>
    <n v="0"/>
    <n v="1292"/>
    <n v="0"/>
    <n v="115"/>
    <n v="0"/>
    <n v="327"/>
    <n v="0"/>
    <n v="0"/>
  </r>
  <r>
    <n v="506"/>
    <m/>
    <s v="Lady Imelda"/>
    <s v="Sea Vuna Fishing"/>
    <n v="2300546"/>
    <d v="2023-10-21T00:00:00"/>
    <x v="109"/>
    <n v="0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8"/>
    <m/>
    <s v="Sisters"/>
    <s v="Sea Vuna Fishing"/>
    <n v="2300553"/>
    <d v="2023-10-21T00:00:00"/>
    <x v="109"/>
    <n v="937"/>
    <n v="35"/>
    <n v="11045"/>
    <n v="5"/>
    <n v="9194"/>
    <n v="138"/>
    <n v="1238"/>
    <n v="1465"/>
    <n v="0"/>
    <n v="0"/>
    <n v="2068"/>
    <n v="0"/>
    <n v="10"/>
    <n v="6"/>
    <n v="462"/>
    <n v="6"/>
    <n v="10088"/>
    <n v="0"/>
    <n v="0"/>
    <n v="0"/>
    <n v="0"/>
    <n v="0"/>
    <n v="1504"/>
    <n v="0"/>
    <n v="1838"/>
    <n v="0"/>
    <n v="139"/>
    <n v="0"/>
    <n v="0"/>
  </r>
  <r>
    <n v="510"/>
    <m/>
    <s v="Portunity"/>
    <s v="U.K.I"/>
    <n v="2305878"/>
    <d v="2023-10-19T00:00:00"/>
    <x v="110"/>
    <n v="360"/>
    <n v="0"/>
    <n v="7704"/>
    <n v="18"/>
    <n v="6885"/>
    <n v="28"/>
    <n v="14"/>
    <n v="24"/>
    <n v="0"/>
    <n v="0"/>
    <n v="556"/>
    <n v="0"/>
    <n v="0"/>
    <n v="0"/>
    <n v="570"/>
    <n v="17"/>
    <n v="8514"/>
    <n v="0"/>
    <n v="41.44"/>
    <n v="0"/>
    <n v="50.88"/>
    <n v="0"/>
    <n v="206"/>
    <n v="0"/>
    <n v="343"/>
    <n v="0"/>
    <n v="25"/>
    <n v="0"/>
    <n v="0"/>
  </r>
  <r>
    <n v="510"/>
    <m/>
    <s v="Portunity"/>
    <s v="Sea Vuna Fishing"/>
    <n v="2300550"/>
    <d v="2023-10-19T00:00:00"/>
    <x v="110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2"/>
    <m/>
    <s v="Lady Imelda"/>
    <s v="U.K.I"/>
    <n v="2306890"/>
    <d v="2023-11-03T00:00:00"/>
    <x v="111"/>
    <n v="20"/>
    <n v="0"/>
    <n v="147"/>
    <n v="0"/>
    <n v="0"/>
    <n v="0"/>
    <n v="0"/>
    <n v="0"/>
    <n v="0"/>
    <n v="0"/>
    <n v="68"/>
    <n v="0"/>
    <n v="0"/>
    <n v="0"/>
    <n v="339"/>
    <n v="43"/>
    <n v="339"/>
    <n v="0"/>
    <n v="0"/>
    <n v="0"/>
    <n v="12.95"/>
    <n v="0"/>
    <n v="270"/>
    <n v="0"/>
    <n v="37"/>
    <n v="0"/>
    <n v="55"/>
    <n v="0"/>
    <n v="0"/>
  </r>
  <r>
    <n v="512"/>
    <m/>
    <s v="Lady Imelda"/>
    <s v="Sea Vuna Fishing"/>
    <n v="2300546"/>
    <d v="2023-11-03T00:00:00"/>
    <x v="111"/>
    <n v="0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4"/>
    <m/>
    <s v="Sisters"/>
    <s v="Sea Vuna Fishing"/>
    <n v="2300553"/>
    <d v="2023-10-29T00:00:00"/>
    <x v="112"/>
    <n v="539"/>
    <n v="69"/>
    <n v="7684"/>
    <n v="88"/>
    <n v="22793"/>
    <n v="103"/>
    <n v="104"/>
    <n v="0"/>
    <n v="618"/>
    <n v="0"/>
    <n v="416"/>
    <n v="0"/>
    <n v="247"/>
    <n v="0"/>
    <n v="759"/>
    <n v="241"/>
    <n v="8090"/>
    <n v="0"/>
    <n v="0"/>
    <n v="0"/>
    <n v="0"/>
    <n v="0"/>
    <n v="786"/>
    <n v="0"/>
    <n v="233"/>
    <n v="0"/>
    <n v="17"/>
    <n v="0"/>
    <n v="0"/>
  </r>
  <r>
    <n v="516"/>
    <m/>
    <s v="Portunity"/>
    <s v="U.K.I"/>
    <n v="2305878"/>
    <d v="2023-11-05T00:00:00"/>
    <x v="113"/>
    <n v="266"/>
    <n v="0"/>
    <n v="16313"/>
    <n v="116"/>
    <n v="4971"/>
    <n v="134"/>
    <n v="16"/>
    <n v="0"/>
    <n v="632"/>
    <n v="0"/>
    <n v="160"/>
    <n v="0"/>
    <n v="0"/>
    <n v="0"/>
    <n v="631"/>
    <n v="21"/>
    <n v="11938"/>
    <n v="0"/>
    <n v="0"/>
    <n v="0"/>
    <n v="0"/>
    <n v="0"/>
    <n v="292"/>
    <n v="0"/>
    <n v="958"/>
    <n v="0"/>
    <n v="75"/>
    <n v="0"/>
    <n v="0"/>
  </r>
  <r>
    <n v="518"/>
    <m/>
    <s v="Lady Imelda"/>
    <s v="U.K.I"/>
    <n v="2305890"/>
    <d v="2023-11-08T00:00:00"/>
    <x v="114"/>
    <n v="0"/>
    <n v="0"/>
    <n v="172"/>
    <n v="3"/>
    <n v="0"/>
    <n v="0"/>
    <n v="0"/>
    <n v="0"/>
    <n v="0"/>
    <n v="0"/>
    <n v="203"/>
    <n v="0"/>
    <n v="0"/>
    <n v="0"/>
    <n v="805"/>
    <n v="115"/>
    <n v="256"/>
    <n v="256"/>
    <n v="0"/>
    <n v="0"/>
    <n v="264.18"/>
    <n v="0"/>
    <n v="2192"/>
    <n v="0"/>
    <n v="19"/>
    <n v="0"/>
    <n v="210"/>
    <n v="0"/>
    <n v="0"/>
  </r>
  <r>
    <n v="518"/>
    <m/>
    <s v="Lady Imelda"/>
    <s v="Sea Vuna Fishing"/>
    <n v="2300546"/>
    <d v="2023-11-08T00:00:00"/>
    <x v="114"/>
    <n v="0"/>
    <n v="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9"/>
    <m/>
    <s v="Elke M"/>
    <s v="Capenis Investments"/>
    <n v="2300333"/>
    <d v="2023-02-18T00:00:00"/>
    <x v="6"/>
    <n v="3"/>
    <n v="0"/>
    <n v="2689"/>
    <n v="392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19"/>
    <m/>
    <s v="Elke M"/>
    <s v="Namutoni"/>
    <n v="2300338"/>
    <d v="2023-02-18T00:00:00"/>
    <x v="6"/>
    <n v="3"/>
    <n v="0"/>
    <n v="2689"/>
    <n v="392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n v="521"/>
    <m/>
    <s v="Elke M"/>
    <s v="Chettys Fisheries cc"/>
    <n v="2300334"/>
    <d v="2023-02-18T00:00:00"/>
    <x v="6"/>
    <n v="8"/>
    <n v="0"/>
    <n v="7299"/>
    <n v="1063"/>
    <n v="0"/>
    <n v="42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</r>
  <r>
    <n v="521"/>
    <m/>
    <s v="Elke M"/>
    <s v="Mayibuye Fishing"/>
    <n v="2300330"/>
    <d v="2023-02-18T00:00:00"/>
    <x v="6"/>
    <n v="3"/>
    <n v="0"/>
    <n v="2619"/>
    <n v="382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21"/>
    <m/>
    <s v="Elke M"/>
    <s v="Atlantis"/>
    <n v="2300348"/>
    <d v="2023-02-18T00:00:00"/>
    <x v="6"/>
    <n v="8"/>
    <n v="0"/>
    <n v="7773"/>
    <n v="1132"/>
    <n v="0"/>
    <n v="45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</r>
  <r>
    <n v="521"/>
    <m/>
    <s v="Elke M"/>
    <s v="Southern Peninsula Trawling"/>
    <n v="2301819"/>
    <d v="2023-02-18T00:00:00"/>
    <x v="6"/>
    <n v="10"/>
    <n v="0"/>
    <n v="9442"/>
    <n v="1375"/>
    <n v="0"/>
    <n v="54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</r>
  <r>
    <n v="521"/>
    <m/>
    <s v="Elke M"/>
    <s v="Ocean Prince"/>
    <n v="2300351"/>
    <d v="2023-02-18T00:00:00"/>
    <x v="6"/>
    <n v="8"/>
    <n v="0"/>
    <n v="7773"/>
    <n v="1132"/>
    <n v="0"/>
    <n v="45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</r>
  <r>
    <n v="521"/>
    <m/>
    <s v="Elke M"/>
    <s v="Vecto trade"/>
    <n v="2300336"/>
    <d v="2023-02-18T00:00:00"/>
    <x v="6"/>
    <n v="3"/>
    <n v="0"/>
    <n v="2689"/>
    <n v="392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21"/>
    <m/>
    <s v="Elke M"/>
    <s v="Seeheim"/>
    <n v="2300335"/>
    <d v="2023-02-18T00:00:00"/>
    <x v="6"/>
    <n v="3"/>
    <n v="0"/>
    <n v="2689"/>
    <n v="392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24"/>
    <m/>
    <s v="Elke M"/>
    <s v="Southern Peninsula Trawling"/>
    <n v="2301819"/>
    <d v="2023-02-10T00:00:00"/>
    <x v="5"/>
    <n v="0"/>
    <n v="0"/>
    <n v="43362"/>
    <n v="7541"/>
    <n v="9"/>
    <n v="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Chettys Fisheries cc"/>
    <n v="2300334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Mayibuye Fishing"/>
    <n v="2300330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Atlantis"/>
    <n v="2300348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Ocean Prince"/>
    <n v="2300351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Vecto trade"/>
    <n v="2300336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4"/>
    <m/>
    <s v="Elke M"/>
    <s v="Seeheim"/>
    <n v="2300335"/>
    <d v="2023-02-10T00:00: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7"/>
    <m/>
    <s v="Elke M"/>
    <s v="Capenis Investments"/>
    <n v="2300333"/>
    <d v="2023-03-14T00:00:00"/>
    <x v="115"/>
    <n v="0"/>
    <n v="0"/>
    <n v="1806"/>
    <n v="205"/>
    <n v="410"/>
    <n v="15"/>
    <n v="0"/>
    <n v="0"/>
    <n v="0"/>
    <n v="0"/>
    <n v="0"/>
    <n v="0"/>
    <n v="0"/>
    <n v="0"/>
    <n v="13"/>
    <n v="0"/>
    <n v="459"/>
    <n v="0"/>
    <n v="0"/>
    <n v="0"/>
    <n v="0"/>
    <n v="0"/>
    <n v="11"/>
    <n v="0"/>
    <n v="9"/>
    <n v="0"/>
    <n v="1"/>
    <n v="0"/>
    <n v="0"/>
  </r>
  <r>
    <n v="527"/>
    <m/>
    <s v="Elke M"/>
    <s v="Namutoni"/>
    <n v="2300338"/>
    <d v="2023-03-14T00:00:00"/>
    <x v="115"/>
    <n v="0"/>
    <n v="0"/>
    <n v="1806"/>
    <n v="205"/>
    <n v="410"/>
    <n v="15"/>
    <n v="0"/>
    <n v="0"/>
    <n v="0"/>
    <n v="0"/>
    <n v="0"/>
    <n v="0"/>
    <n v="0"/>
    <n v="0"/>
    <n v="13"/>
    <n v="0"/>
    <n v="459"/>
    <n v="0"/>
    <n v="0"/>
    <n v="0"/>
    <n v="0"/>
    <n v="0"/>
    <n v="11"/>
    <n v="0"/>
    <n v="9"/>
    <n v="0"/>
    <n v="1"/>
    <n v="0"/>
    <n v="0"/>
  </r>
  <r>
    <n v="529"/>
    <m/>
    <s v="Elke M"/>
    <s v="Chettys Fisheries cc"/>
    <n v="2300334"/>
    <d v="2023-03-14T00:00:00"/>
    <x v="115"/>
    <n v="0"/>
    <n v="0"/>
    <n v="4901"/>
    <n v="556"/>
    <n v="1114"/>
    <n v="41"/>
    <n v="0"/>
    <n v="0"/>
    <n v="0"/>
    <n v="0"/>
    <n v="0"/>
    <n v="0"/>
    <n v="0"/>
    <n v="0"/>
    <n v="34"/>
    <n v="0"/>
    <n v="1246"/>
    <n v="0"/>
    <n v="0"/>
    <n v="0"/>
    <n v="0"/>
    <n v="0"/>
    <n v="30"/>
    <n v="0"/>
    <n v="24"/>
    <n v="0"/>
    <n v="2"/>
    <n v="0"/>
    <n v="0"/>
  </r>
  <r>
    <n v="529"/>
    <m/>
    <s v="Elke M"/>
    <s v="Mayibuye Fishing"/>
    <n v="2300330"/>
    <d v="2023-03-14T00:00:00"/>
    <x v="115"/>
    <n v="0"/>
    <n v="0"/>
    <n v="1759"/>
    <n v="200"/>
    <n v="400"/>
    <n v="15"/>
    <n v="0"/>
    <n v="0"/>
    <n v="0"/>
    <n v="0"/>
    <n v="0"/>
    <n v="0"/>
    <n v="0"/>
    <n v="0"/>
    <n v="12"/>
    <n v="0"/>
    <n v="447"/>
    <n v="0"/>
    <n v="0"/>
    <n v="0"/>
    <n v="0"/>
    <n v="0"/>
    <n v="11"/>
    <n v="0"/>
    <n v="8"/>
    <n v="0"/>
    <n v="1"/>
    <n v="0"/>
    <n v="0"/>
  </r>
  <r>
    <n v="529"/>
    <m/>
    <s v="Elke M"/>
    <s v="Atlantis"/>
    <n v="2300348"/>
    <d v="2023-03-14T00:00:00"/>
    <x v="115"/>
    <n v="0"/>
    <n v="0"/>
    <n v="5220"/>
    <n v="592"/>
    <n v="1186"/>
    <n v="43"/>
    <n v="0"/>
    <n v="0"/>
    <n v="0"/>
    <n v="0"/>
    <n v="0"/>
    <n v="0"/>
    <n v="0"/>
    <n v="0"/>
    <n v="37"/>
    <n v="0"/>
    <n v="1327"/>
    <n v="0"/>
    <n v="0"/>
    <n v="0"/>
    <n v="0"/>
    <n v="0"/>
    <n v="32"/>
    <n v="0"/>
    <n v="25"/>
    <n v="0"/>
    <n v="2"/>
    <n v="0"/>
    <n v="0"/>
  </r>
  <r>
    <n v="529"/>
    <m/>
    <s v="Elke M"/>
    <s v="Southern Peninsula Trawling"/>
    <n v="2301819"/>
    <d v="2023-03-14T00:00:00"/>
    <x v="115"/>
    <n v="0"/>
    <n v="0"/>
    <n v="5220"/>
    <n v="592"/>
    <n v="1186"/>
    <n v="43"/>
    <n v="0"/>
    <n v="0"/>
    <n v="0"/>
    <n v="0"/>
    <n v="0"/>
    <n v="0"/>
    <n v="0"/>
    <n v="0"/>
    <n v="37"/>
    <n v="0"/>
    <n v="1327"/>
    <n v="0"/>
    <n v="0"/>
    <n v="0"/>
    <n v="0"/>
    <n v="0"/>
    <n v="32"/>
    <n v="0"/>
    <n v="25"/>
    <n v="0"/>
    <n v="2"/>
    <n v="0"/>
    <n v="0"/>
  </r>
  <r>
    <n v="529"/>
    <m/>
    <s v="Elke M"/>
    <s v="Ocean Prince"/>
    <n v="2300351"/>
    <d v="2023-03-14T00:00:00"/>
    <x v="115"/>
    <n v="0"/>
    <n v="0"/>
    <n v="5220"/>
    <n v="592"/>
    <n v="1186"/>
    <n v="43"/>
    <n v="0"/>
    <n v="0"/>
    <n v="0"/>
    <n v="0"/>
    <n v="0"/>
    <n v="0"/>
    <n v="0"/>
    <n v="0"/>
    <n v="37"/>
    <n v="0"/>
    <n v="1327"/>
    <n v="0"/>
    <n v="0"/>
    <n v="0"/>
    <n v="0"/>
    <n v="0"/>
    <n v="32"/>
    <n v="0"/>
    <n v="25"/>
    <n v="0"/>
    <n v="2"/>
    <n v="0"/>
    <n v="0"/>
  </r>
  <r>
    <n v="529"/>
    <m/>
    <s v="Elke M"/>
    <s v="Vecto trade"/>
    <n v="2300336"/>
    <d v="2023-03-14T00:00:00"/>
    <x v="115"/>
    <n v="0"/>
    <n v="0"/>
    <n v="1806"/>
    <n v="205"/>
    <n v="410"/>
    <n v="15"/>
    <n v="0"/>
    <n v="0"/>
    <n v="0"/>
    <n v="0"/>
    <n v="0"/>
    <n v="0"/>
    <n v="0"/>
    <n v="0"/>
    <n v="13"/>
    <n v="0"/>
    <n v="459"/>
    <n v="0"/>
    <n v="0"/>
    <n v="0"/>
    <n v="0"/>
    <n v="0"/>
    <n v="11"/>
    <n v="0"/>
    <n v="9"/>
    <n v="0"/>
    <n v="1"/>
    <n v="0"/>
    <n v="0"/>
  </r>
  <r>
    <n v="529"/>
    <m/>
    <s v="Elke M"/>
    <s v="Seeheim"/>
    <n v="2300335"/>
    <d v="2023-03-14T00:00:00"/>
    <x v="115"/>
    <n v="0"/>
    <n v="0"/>
    <n v="1806"/>
    <n v="205"/>
    <n v="410"/>
    <n v="15"/>
    <n v="0"/>
    <n v="0"/>
    <n v="0"/>
    <n v="0"/>
    <n v="0"/>
    <n v="0"/>
    <n v="0"/>
    <n v="0"/>
    <n v="13"/>
    <n v="0"/>
    <n v="459"/>
    <n v="0"/>
    <n v="0"/>
    <n v="0"/>
    <n v="0"/>
    <n v="0"/>
    <n v="11"/>
    <n v="0"/>
    <n v="9"/>
    <n v="0"/>
    <n v="1"/>
    <n v="0"/>
    <n v="0"/>
  </r>
  <r>
    <n v="532"/>
    <m/>
    <s v="Elke M"/>
    <s v="Capenis Investments"/>
    <n v="2300333"/>
    <d v="2023-03-09T00:00:00"/>
    <x v="116"/>
    <n v="0"/>
    <n v="0"/>
    <n v="3192"/>
    <n v="3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2"/>
    <m/>
    <s v="Elke M"/>
    <s v="Namutoni"/>
    <n v="2300338"/>
    <d v="2023-03-09T00:00:00"/>
    <x v="116"/>
    <n v="0"/>
    <n v="0"/>
    <n v="3192"/>
    <n v="3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Chettys Fisheries cc"/>
    <n v="2300334"/>
    <d v="2023-03-09T00:00:00"/>
    <x v="116"/>
    <n v="0"/>
    <n v="0"/>
    <n v="8663"/>
    <n v="89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Mayibuye Fishing"/>
    <n v="2300330"/>
    <d v="2023-03-09T00:00:00"/>
    <x v="116"/>
    <n v="0"/>
    <n v="0"/>
    <n v="3109"/>
    <n v="3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Atlantis"/>
    <n v="2300348"/>
    <d v="2023-03-09T00:00:00"/>
    <x v="116"/>
    <n v="0"/>
    <n v="0"/>
    <n v="9226"/>
    <n v="95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Southern Peninsula Trawling"/>
    <n v="2301819"/>
    <d v="2023-03-09T00:00:00"/>
    <x v="116"/>
    <n v="0"/>
    <n v="0"/>
    <n v="9226"/>
    <n v="95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Ocean Prince"/>
    <n v="2300351"/>
    <d v="2023-03-09T00:00:00"/>
    <x v="116"/>
    <n v="0"/>
    <n v="0"/>
    <n v="9226"/>
    <n v="95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Vecto trade"/>
    <n v="2300336"/>
    <d v="2023-03-09T00:00:00"/>
    <x v="116"/>
    <n v="0"/>
    <n v="0"/>
    <n v="3192"/>
    <n v="3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4"/>
    <m/>
    <s v="Elke M"/>
    <s v="Seeheim"/>
    <n v="2300335"/>
    <d v="2023-03-09T00:00:00"/>
    <x v="116"/>
    <n v="0"/>
    <n v="0"/>
    <n v="3192"/>
    <n v="3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8"/>
    <m/>
    <s v="Lady Imelda"/>
    <s v="U.K.I"/>
    <n v="2305890"/>
    <d v="2023-11-29T00:00:00"/>
    <x v="117"/>
    <n v="0"/>
    <n v="0"/>
    <n v="237"/>
    <n v="0"/>
    <n v="0"/>
    <n v="0"/>
    <n v="0"/>
    <n v="0"/>
    <n v="0"/>
    <n v="0"/>
    <n v="0"/>
    <n v="0"/>
    <n v="0"/>
    <n v="0"/>
    <n v="290"/>
    <n v="3"/>
    <n v="37"/>
    <n v="0"/>
    <n v="0"/>
    <n v="0"/>
    <n v="0"/>
    <n v="0"/>
    <n v="438"/>
    <n v="0"/>
    <n v="22"/>
    <n v="0"/>
    <n v="96"/>
    <n v="0"/>
    <n v="0"/>
  </r>
  <r>
    <n v="540"/>
    <m/>
    <s v="Sisters"/>
    <s v="U.K.I"/>
    <n v="2305877"/>
    <d v="2023-11-29T00:00:00"/>
    <x v="118"/>
    <n v="724"/>
    <n v="0"/>
    <n v="19914"/>
    <n v="35"/>
    <n v="4417"/>
    <n v="275"/>
    <n v="7"/>
    <n v="3"/>
    <n v="753"/>
    <n v="0"/>
    <n v="480"/>
    <n v="0"/>
    <n v="2884"/>
    <n v="1"/>
    <n v="547"/>
    <n v="0"/>
    <n v="8109"/>
    <n v="0"/>
    <n v="0"/>
    <n v="0"/>
    <n v="0"/>
    <n v="0"/>
    <n v="1150"/>
    <n v="0"/>
    <n v="170"/>
    <n v="0"/>
    <n v="11"/>
    <n v="0"/>
    <n v="0"/>
  </r>
  <r>
    <n v="540"/>
    <m/>
    <s v="Sisters"/>
    <s v="Sea Vuna Fishing"/>
    <n v="2300553"/>
    <d v="2023-11-29T00:00:00"/>
    <x v="11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42"/>
    <m/>
    <s v="Sisters"/>
    <s v="U.K.I"/>
    <n v="2305877"/>
    <d v="2023-12-07T00:00:00"/>
    <x v="119"/>
    <n v="1220"/>
    <n v="0"/>
    <n v="11776"/>
    <n v="9"/>
    <n v="18506"/>
    <n v="375"/>
    <n v="77"/>
    <n v="276"/>
    <n v="224"/>
    <n v="0"/>
    <n v="764"/>
    <n v="0"/>
    <n v="672"/>
    <n v="5"/>
    <n v="365"/>
    <n v="0"/>
    <n v="3318"/>
    <n v="0"/>
    <n v="0"/>
    <n v="0"/>
    <n v="0"/>
    <n v="0"/>
    <n v="256"/>
    <n v="0"/>
    <n v="657"/>
    <n v="0"/>
    <n v="341"/>
    <n v="0"/>
    <n v="0"/>
  </r>
  <r>
    <n v="542"/>
    <m/>
    <s v="Sisters"/>
    <s v="Sea Vuna Fishing"/>
    <n v="2300553"/>
    <d v="2023-12-07T00:00:00"/>
    <x v="119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44"/>
    <m/>
    <s v="Sisters"/>
    <s v="U.K.I"/>
    <n v="2305877"/>
    <d v="2023-12-13T00:00:00"/>
    <x v="120"/>
    <n v="403"/>
    <n v="0"/>
    <n v="9598"/>
    <n v="29"/>
    <n v="27128"/>
    <n v="244"/>
    <n v="104"/>
    <n v="237"/>
    <n v="206"/>
    <n v="0"/>
    <n v="680"/>
    <n v="0"/>
    <n v="56"/>
    <n v="0"/>
    <n v="372"/>
    <n v="0"/>
    <n v="2841"/>
    <n v="0"/>
    <n v="0"/>
    <n v="0"/>
    <n v="0"/>
    <n v="0"/>
    <n v="104"/>
    <n v="0"/>
    <n v="179"/>
    <n v="0"/>
    <n v="145"/>
    <n v="0"/>
    <n v="0"/>
  </r>
  <r>
    <n v="544"/>
    <m/>
    <s v="Sisters"/>
    <s v="Sea Vuna Fishing"/>
    <n v="2300553"/>
    <d v="2023-12-13T00:00:00"/>
    <x v="12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54"/>
    <m/>
    <s v="Sisters"/>
    <s v="Sea Vuna Fishing"/>
    <n v="2300553"/>
    <d v="2023-12-19T00:00:00"/>
    <x v="121"/>
    <n v="560"/>
    <n v="0"/>
    <n v="17703"/>
    <n v="116"/>
    <n v="13278"/>
    <n v="375"/>
    <n v="9"/>
    <n v="4"/>
    <n v="1493"/>
    <n v="0"/>
    <n v="144"/>
    <n v="0"/>
    <n v="0"/>
    <n v="0"/>
    <n v="295"/>
    <n v="0"/>
    <n v="1860"/>
    <n v="0"/>
    <n v="0"/>
    <n v="0"/>
    <n v="0"/>
    <n v="0"/>
    <n v="152"/>
    <n v="27"/>
    <n v="90"/>
    <n v="0"/>
    <n v="6"/>
    <n v="0"/>
    <n v="0"/>
  </r>
  <r>
    <n v="556"/>
    <m/>
    <s v="Portunity"/>
    <s v="U.K.I"/>
    <n v="2305878"/>
    <d v="2023-12-02T00:00:00"/>
    <x v="122"/>
    <n v="765"/>
    <n v="0"/>
    <n v="12696"/>
    <n v="97"/>
    <n v="6149"/>
    <n v="230"/>
    <n v="0"/>
    <n v="0"/>
    <n v="336"/>
    <n v="0"/>
    <n v="184"/>
    <n v="0"/>
    <n v="0"/>
    <n v="0"/>
    <n v="525"/>
    <n v="22"/>
    <n v="8612"/>
    <n v="0"/>
    <n v="0"/>
    <n v="0"/>
    <n v="0"/>
    <n v="0"/>
    <n v="352"/>
    <n v="0"/>
    <n v="609"/>
    <n v="0"/>
    <n v="55"/>
    <n v="0"/>
    <n v="0"/>
  </r>
  <r>
    <n v="558"/>
    <m/>
    <s v="Portunity"/>
    <s v="U.K.I"/>
    <n v="2305878"/>
    <d v="2023-12-09T00:00:00"/>
    <x v="123"/>
    <n v="220"/>
    <n v="0"/>
    <n v="13623"/>
    <n v="149"/>
    <n v="5486"/>
    <n v="330"/>
    <n v="0"/>
    <n v="0"/>
    <n v="1615"/>
    <n v="0"/>
    <n v="548"/>
    <n v="0"/>
    <n v="0"/>
    <n v="0"/>
    <n v="641"/>
    <n v="4"/>
    <n v="9252"/>
    <n v="0"/>
    <n v="132.09"/>
    <n v="0"/>
    <n v="124.32"/>
    <n v="0"/>
    <n v="202"/>
    <n v="0"/>
    <n v="217"/>
    <n v="0"/>
    <n v="807"/>
    <n v="0"/>
    <n v="0"/>
  </r>
  <r>
    <n v="560"/>
    <m/>
    <s v="Portunity"/>
    <s v="U.K.I"/>
    <n v="2305878"/>
    <d v="2023-12-15T00:00:00"/>
    <x v="124"/>
    <n v="193"/>
    <n v="0"/>
    <n v="34119"/>
    <n v="100"/>
    <n v="191"/>
    <n v="918"/>
    <n v="38"/>
    <n v="0"/>
    <n v="3824"/>
    <n v="0"/>
    <n v="16"/>
    <n v="0"/>
    <n v="0"/>
    <n v="0"/>
    <n v="120"/>
    <n v="0"/>
    <n v="1389"/>
    <n v="0"/>
    <n v="0"/>
    <n v="0"/>
    <n v="0"/>
    <n v="0"/>
    <n v="50"/>
    <n v="0"/>
    <n v="45"/>
    <n v="0"/>
    <n v="1"/>
    <n v="0"/>
    <n v="0"/>
  </r>
  <r>
    <n v="562"/>
    <m/>
    <s v="Portunity"/>
    <s v="Sea Vuna Fishing"/>
    <n v="2300550"/>
    <d v="2023-12-22T00:00:00"/>
    <x v="125"/>
    <n v="325"/>
    <n v="0"/>
    <n v="18529"/>
    <n v="44"/>
    <n v="17"/>
    <n v="251"/>
    <n v="0"/>
    <n v="0"/>
    <n v="0"/>
    <n v="0"/>
    <n v="32"/>
    <n v="0"/>
    <n v="0"/>
    <n v="0"/>
    <n v="934"/>
    <n v="0"/>
    <n v="11763"/>
    <n v="0"/>
    <n v="0"/>
    <n v="0"/>
    <n v="0"/>
    <n v="0"/>
    <n v="132"/>
    <n v="0"/>
    <n v="95"/>
    <n v="0"/>
    <n v="0"/>
    <n v="0"/>
    <n v="0"/>
  </r>
  <r>
    <n v="564"/>
    <m/>
    <s v="Lady Imelda"/>
    <s v="U.K.I"/>
    <n v="2305890"/>
    <d v="2023-12-09T00:00:00"/>
    <x v="119"/>
    <n v="0"/>
    <n v="0"/>
    <n v="476"/>
    <n v="2"/>
    <n v="0"/>
    <n v="0"/>
    <n v="0"/>
    <n v="0"/>
    <n v="0"/>
    <n v="0"/>
    <n v="0"/>
    <n v="0"/>
    <n v="0"/>
    <n v="0"/>
    <n v="84"/>
    <n v="7"/>
    <n v="88"/>
    <n v="0"/>
    <n v="0"/>
    <n v="0"/>
    <n v="67.34"/>
    <n v="0"/>
    <n v="786"/>
    <n v="0"/>
    <n v="16"/>
    <n v="0"/>
    <n v="93"/>
    <n v="0"/>
    <n v="0"/>
  </r>
  <r>
    <n v="564"/>
    <m/>
    <s v="Lady Imelda"/>
    <s v="Sea Vuna Fishing"/>
    <n v="2300546"/>
    <d v="2023-12-09T00:00:00"/>
    <x v="119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66"/>
    <m/>
    <s v="Lady Imelda"/>
    <s v="U.K.I"/>
    <n v="2305890"/>
    <d v="2023-12-17T00:00:00"/>
    <x v="126"/>
    <n v="82"/>
    <n v="0"/>
    <n v="1059"/>
    <n v="2"/>
    <n v="10"/>
    <n v="0"/>
    <n v="0"/>
    <n v="0"/>
    <n v="0"/>
    <n v="0"/>
    <n v="200"/>
    <n v="0"/>
    <n v="0"/>
    <n v="0"/>
    <n v="1413"/>
    <n v="116"/>
    <n v="227"/>
    <n v="0"/>
    <n v="0"/>
    <n v="0"/>
    <n v="139.85999999999999"/>
    <n v="0"/>
    <n v="1820"/>
    <n v="0"/>
    <n v="104"/>
    <n v="0"/>
    <n v="346"/>
    <n v="0"/>
    <n v="0"/>
  </r>
  <r>
    <n v="566"/>
    <m/>
    <s v="Lady Imelda"/>
    <s v="Sea Vuna Fishing"/>
    <n v="2300546"/>
    <d v="2023-12-17T00:00:00"/>
    <x v="126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68"/>
    <m/>
    <s v="Lady Imelda"/>
    <s v="U.K.I"/>
    <n v="2305890"/>
    <d v="2023-12-23T00:00:00"/>
    <x v="127"/>
    <n v="0"/>
    <n v="0"/>
    <n v="1021"/>
    <n v="0"/>
    <n v="0"/>
    <n v="0"/>
    <n v="0"/>
    <n v="0"/>
    <n v="0"/>
    <n v="0"/>
    <n v="268"/>
    <n v="0"/>
    <n v="0"/>
    <n v="0"/>
    <n v="319"/>
    <n v="29"/>
    <n v="67"/>
    <n v="0"/>
    <n v="0"/>
    <n v="0"/>
    <n v="67.34"/>
    <n v="0"/>
    <n v="1008"/>
    <n v="0"/>
    <n v="31"/>
    <n v="0"/>
    <n v="156"/>
    <n v="0"/>
    <n v="0"/>
  </r>
  <r>
    <n v="568"/>
    <m/>
    <s v="Lady Imelda"/>
    <s v="Sea Vuna Fishing"/>
    <n v="2300546"/>
    <d v="2023-12-23T00:00:00"/>
    <x v="127"/>
    <n v="0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70"/>
    <m/>
    <s v="Lady Imelda"/>
    <s v="Sea Vuna Fishing"/>
    <n v="2300546"/>
    <d v="2023-12-30T00:00:00"/>
    <x v="128"/>
    <n v="0"/>
    <n v="7"/>
    <n v="534"/>
    <n v="0"/>
    <n v="0"/>
    <n v="0"/>
    <n v="0"/>
    <n v="0"/>
    <n v="0"/>
    <n v="0"/>
    <n v="0"/>
    <n v="0"/>
    <n v="0"/>
    <n v="0"/>
    <n v="48"/>
    <n v="0"/>
    <n v="0"/>
    <n v="0"/>
    <n v="0"/>
    <n v="0"/>
    <n v="88.06"/>
    <n v="0"/>
    <n v="714"/>
    <n v="0"/>
    <n v="0"/>
    <n v="0"/>
    <n v="40"/>
    <n v="0"/>
    <n v="0"/>
  </r>
  <r>
    <n v="572"/>
    <m/>
    <s v="Elke M"/>
    <s v="Chettys Fisheries cc"/>
    <n v="2300334"/>
    <d v="2023-10-23T00:00:00"/>
    <x v="129"/>
    <n v="58"/>
    <n v="0"/>
    <n v="3844"/>
    <n v="433"/>
    <n v="1131"/>
    <n v="90"/>
    <n v="0"/>
    <n v="0"/>
    <n v="0"/>
    <n v="0"/>
    <n v="0"/>
    <n v="0"/>
    <n v="0"/>
    <n v="0"/>
    <n v="275"/>
    <n v="81"/>
    <n v="1568"/>
    <n v="0"/>
    <n v="0"/>
    <n v="0"/>
    <n v="0"/>
    <n v="0"/>
    <n v="148"/>
    <n v="0"/>
    <n v="68"/>
    <n v="0"/>
    <n v="21"/>
    <n v="7"/>
    <n v="0"/>
  </r>
  <r>
    <n v="572"/>
    <m/>
    <s v="Elke M"/>
    <s v="Mayibuye Fishing"/>
    <n v="2300330"/>
    <d v="2023-10-23T00:00:00"/>
    <x v="129"/>
    <n v="85"/>
    <n v="0"/>
    <n v="5629"/>
    <n v="634"/>
    <n v="1656"/>
    <n v="132"/>
    <n v="0"/>
    <n v="0"/>
    <n v="0"/>
    <n v="0"/>
    <n v="0"/>
    <n v="0"/>
    <n v="0"/>
    <n v="0"/>
    <n v="403"/>
    <n v="118"/>
    <n v="2296"/>
    <n v="0"/>
    <n v="0"/>
    <n v="0"/>
    <n v="0"/>
    <n v="0"/>
    <n v="216"/>
    <n v="0"/>
    <n v="99"/>
    <n v="0"/>
    <n v="31"/>
    <n v="10"/>
    <n v="0"/>
  </r>
  <r>
    <n v="572"/>
    <m/>
    <s v="Elke M"/>
    <s v="Atlantis"/>
    <n v="2300348"/>
    <d v="2023-10-23T00:00:00"/>
    <x v="129"/>
    <n v="61"/>
    <n v="0"/>
    <n v="4094"/>
    <n v="461"/>
    <n v="1204"/>
    <n v="96"/>
    <n v="0"/>
    <n v="0"/>
    <n v="0"/>
    <n v="0"/>
    <n v="0"/>
    <n v="0"/>
    <n v="0"/>
    <n v="0"/>
    <n v="293"/>
    <n v="86"/>
    <n v="1670"/>
    <n v="0"/>
    <n v="0"/>
    <n v="0"/>
    <n v="0"/>
    <n v="0"/>
    <n v="158"/>
    <n v="0"/>
    <n v="72"/>
    <n v="0"/>
    <n v="23"/>
    <n v="8"/>
    <n v="0"/>
  </r>
  <r>
    <n v="572"/>
    <m/>
    <s v="Elke M"/>
    <s v="Southern Peninsula Trawling"/>
    <n v="2301819"/>
    <d v="2023-10-23T00:00:00"/>
    <x v="129"/>
    <n v="61"/>
    <n v="0"/>
    <n v="4094"/>
    <n v="461"/>
    <n v="1204"/>
    <n v="96"/>
    <n v="0"/>
    <n v="0"/>
    <n v="0"/>
    <n v="0"/>
    <n v="0"/>
    <n v="0"/>
    <n v="0"/>
    <n v="0"/>
    <n v="293"/>
    <n v="86"/>
    <n v="1670"/>
    <n v="0"/>
    <n v="0"/>
    <n v="0"/>
    <n v="0"/>
    <n v="0"/>
    <n v="158"/>
    <n v="0"/>
    <n v="72"/>
    <n v="0"/>
    <n v="23"/>
    <n v="8"/>
    <n v="0"/>
  </r>
  <r>
    <n v="572"/>
    <m/>
    <s v="Elke M"/>
    <s v="Ocean Prince"/>
    <n v="2300351"/>
    <d v="2023-10-23T00:00:00"/>
    <x v="129"/>
    <n v="61"/>
    <n v="0"/>
    <n v="4094"/>
    <n v="461"/>
    <n v="1204"/>
    <n v="96"/>
    <n v="0"/>
    <n v="0"/>
    <n v="0"/>
    <n v="0"/>
    <n v="0"/>
    <n v="0"/>
    <n v="0"/>
    <n v="0"/>
    <n v="293"/>
    <n v="86"/>
    <n v="1670"/>
    <n v="0"/>
    <n v="0"/>
    <n v="0"/>
    <n v="0"/>
    <n v="0"/>
    <n v="158"/>
    <n v="0"/>
    <n v="72"/>
    <n v="0"/>
    <n v="23"/>
    <n v="8"/>
    <n v="0"/>
  </r>
  <r>
    <n v="572"/>
    <m/>
    <s v="Elke M"/>
    <s v="Capenis Investments"/>
    <n v="2300333"/>
    <d v="2023-10-23T00:00:00"/>
    <x v="129"/>
    <n v="21"/>
    <n v="0"/>
    <n v="1416"/>
    <n v="160"/>
    <n v="417"/>
    <n v="33"/>
    <n v="0"/>
    <n v="0"/>
    <n v="0"/>
    <n v="0"/>
    <n v="0"/>
    <n v="0"/>
    <n v="0"/>
    <n v="0"/>
    <n v="101"/>
    <n v="30"/>
    <n v="578"/>
    <n v="0"/>
    <n v="0"/>
    <n v="0"/>
    <n v="0"/>
    <n v="0"/>
    <n v="54"/>
    <n v="0"/>
    <n v="25"/>
    <n v="0"/>
    <n v="8"/>
    <n v="3"/>
    <n v="0"/>
  </r>
  <r>
    <n v="575"/>
    <m/>
    <s v="Elke M"/>
    <s v="Chettys Fisheries cc"/>
    <n v="2300334"/>
    <d v="2023-11-06T00:00:00"/>
    <x v="130"/>
    <n v="85"/>
    <n v="0"/>
    <n v="2419"/>
    <n v="141"/>
    <n v="659"/>
    <n v="11"/>
    <n v="0"/>
    <n v="0"/>
    <n v="0"/>
    <n v="0"/>
    <n v="0"/>
    <n v="0"/>
    <n v="0"/>
    <n v="0"/>
    <n v="236"/>
    <n v="48"/>
    <n v="1999"/>
    <n v="0"/>
    <n v="0"/>
    <n v="0"/>
    <n v="0"/>
    <n v="0"/>
    <n v="38"/>
    <n v="0"/>
    <n v="51"/>
    <n v="0"/>
    <n v="20"/>
    <n v="28"/>
    <n v="0"/>
  </r>
  <r>
    <n v="575"/>
    <m/>
    <s v="Elke M"/>
    <s v="Mayibuye Fishing"/>
    <n v="2300330"/>
    <d v="2023-11-06T00:00:00"/>
    <x v="130"/>
    <n v="124"/>
    <n v="0"/>
    <n v="3542"/>
    <n v="207"/>
    <n v="964"/>
    <n v="17"/>
    <n v="0"/>
    <n v="0"/>
    <n v="0"/>
    <n v="0"/>
    <n v="0"/>
    <n v="0"/>
    <n v="0"/>
    <n v="0"/>
    <n v="346"/>
    <n v="71"/>
    <n v="2928"/>
    <n v="0"/>
    <n v="0"/>
    <n v="0"/>
    <n v="0"/>
    <n v="0"/>
    <n v="56"/>
    <n v="0"/>
    <n v="75"/>
    <n v="0"/>
    <n v="30"/>
    <n v="41"/>
    <n v="0"/>
  </r>
  <r>
    <n v="575"/>
    <m/>
    <s v="Elke M"/>
    <s v="Atlantis"/>
    <n v="2300348"/>
    <d v="2023-11-06T00:00:00"/>
    <x v="130"/>
    <n v="90"/>
    <n v="0"/>
    <n v="2576"/>
    <n v="150"/>
    <n v="701"/>
    <n v="12"/>
    <n v="0"/>
    <n v="0"/>
    <n v="0"/>
    <n v="0"/>
    <n v="0"/>
    <n v="0"/>
    <n v="0"/>
    <n v="0"/>
    <n v="251"/>
    <n v="52"/>
    <n v="2129"/>
    <n v="0"/>
    <n v="0"/>
    <n v="0"/>
    <n v="0"/>
    <n v="0"/>
    <n v="40"/>
    <n v="0"/>
    <n v="54"/>
    <n v="0"/>
    <n v="22"/>
    <n v="30"/>
    <n v="0"/>
  </r>
  <r>
    <n v="575"/>
    <m/>
    <s v="Elke M"/>
    <s v="Southern Peninsula Trawling"/>
    <n v="2301819"/>
    <d v="2023-11-06T00:00:00"/>
    <x v="130"/>
    <n v="90"/>
    <n v="0"/>
    <n v="2576"/>
    <n v="150"/>
    <n v="701"/>
    <n v="12"/>
    <n v="0"/>
    <n v="0"/>
    <n v="0"/>
    <n v="0"/>
    <n v="0"/>
    <n v="0"/>
    <n v="0"/>
    <n v="0"/>
    <n v="251"/>
    <n v="52"/>
    <n v="2129"/>
    <n v="0"/>
    <n v="0"/>
    <n v="0"/>
    <n v="0"/>
    <n v="0"/>
    <n v="40"/>
    <n v="0"/>
    <n v="54"/>
    <n v="0"/>
    <n v="22"/>
    <n v="30"/>
    <n v="0"/>
  </r>
  <r>
    <n v="575"/>
    <m/>
    <s v="Elke M"/>
    <s v="Ocean Prince"/>
    <n v="2300351"/>
    <d v="2023-11-06T00:00:00"/>
    <x v="130"/>
    <n v="90"/>
    <n v="0"/>
    <n v="2576"/>
    <n v="150"/>
    <n v="701"/>
    <n v="12"/>
    <n v="0"/>
    <n v="0"/>
    <n v="0"/>
    <n v="0"/>
    <n v="0"/>
    <n v="0"/>
    <n v="0"/>
    <n v="0"/>
    <n v="251"/>
    <n v="52"/>
    <n v="2129"/>
    <n v="0"/>
    <n v="0"/>
    <n v="0"/>
    <n v="0"/>
    <n v="0"/>
    <n v="40"/>
    <n v="0"/>
    <n v="54"/>
    <n v="0"/>
    <n v="22"/>
    <n v="30"/>
    <n v="0"/>
  </r>
  <r>
    <n v="575"/>
    <m/>
    <s v="Elke M"/>
    <s v="Capenis Investments"/>
    <n v="2300333"/>
    <d v="2023-11-06T00:00:00"/>
    <x v="130"/>
    <n v="31"/>
    <n v="0"/>
    <n v="891"/>
    <n v="52"/>
    <n v="243"/>
    <n v="4"/>
    <n v="0"/>
    <n v="0"/>
    <n v="0"/>
    <n v="0"/>
    <n v="0"/>
    <n v="0"/>
    <n v="0"/>
    <n v="0"/>
    <n v="87"/>
    <n v="18"/>
    <n v="737"/>
    <n v="0"/>
    <n v="0"/>
    <n v="0"/>
    <n v="0"/>
    <n v="0"/>
    <n v="14"/>
    <n v="0"/>
    <n v="19"/>
    <n v="0"/>
    <n v="7"/>
    <n v="10"/>
    <n v="0"/>
  </r>
  <r>
    <n v="578"/>
    <m/>
    <s v="Elke M"/>
    <s v="Chettys Fisheries cc"/>
    <n v="2300334"/>
    <d v="2023-11-17T00:00:00"/>
    <x v="103"/>
    <n v="29"/>
    <n v="0"/>
    <n v="2967"/>
    <n v="1006"/>
    <n v="1418"/>
    <n v="54"/>
    <n v="0"/>
    <n v="0"/>
    <n v="0"/>
    <n v="0"/>
    <n v="0"/>
    <n v="0"/>
    <n v="0"/>
    <n v="0"/>
    <n v="149"/>
    <n v="0"/>
    <n v="385"/>
    <n v="0"/>
    <n v="0"/>
    <n v="0"/>
    <n v="0"/>
    <n v="0"/>
    <n v="242"/>
    <n v="0"/>
    <n v="24"/>
    <n v="0"/>
    <n v="0"/>
    <n v="13"/>
    <n v="0"/>
  </r>
  <r>
    <n v="578"/>
    <m/>
    <s v="Elke M"/>
    <s v="Mayibuye Fishing"/>
    <n v="2300330"/>
    <d v="2023-11-17T00:00:00"/>
    <x v="103"/>
    <n v="42"/>
    <n v="0"/>
    <n v="4345"/>
    <n v="1473"/>
    <n v="2076"/>
    <n v="79"/>
    <n v="0"/>
    <n v="0"/>
    <n v="0"/>
    <n v="0"/>
    <n v="0"/>
    <n v="0"/>
    <n v="0"/>
    <n v="0"/>
    <n v="218"/>
    <n v="0"/>
    <n v="564"/>
    <n v="0"/>
    <n v="0"/>
    <n v="0"/>
    <n v="0"/>
    <n v="0"/>
    <n v="354"/>
    <n v="0"/>
    <n v="36"/>
    <n v="0"/>
    <n v="0"/>
    <n v="19"/>
    <n v="0"/>
  </r>
  <r>
    <n v="578"/>
    <m/>
    <s v="Elke M"/>
    <s v="Atlantis"/>
    <n v="2300348"/>
    <d v="2023-11-17T00:00:00"/>
    <x v="103"/>
    <n v="31"/>
    <n v="0"/>
    <n v="3160"/>
    <n v="1071"/>
    <n v="1510"/>
    <n v="58"/>
    <n v="0"/>
    <n v="0"/>
    <n v="0"/>
    <n v="0"/>
    <n v="0"/>
    <n v="0"/>
    <n v="0"/>
    <n v="0"/>
    <n v="159"/>
    <n v="0"/>
    <n v="410"/>
    <n v="0"/>
    <n v="0"/>
    <n v="0"/>
    <n v="0"/>
    <n v="0"/>
    <n v="257"/>
    <n v="0"/>
    <n v="26"/>
    <n v="0"/>
    <n v="0"/>
    <n v="14"/>
    <n v="0"/>
  </r>
  <r>
    <n v="578"/>
    <m/>
    <s v="Elke M"/>
    <s v="Southern Peninsula Trawling"/>
    <n v="2301819"/>
    <d v="2023-11-17T00:00:00"/>
    <x v="103"/>
    <n v="31"/>
    <n v="0"/>
    <n v="3160"/>
    <n v="1071"/>
    <n v="1510"/>
    <n v="58"/>
    <n v="0"/>
    <n v="0"/>
    <n v="0"/>
    <n v="0"/>
    <n v="0"/>
    <n v="0"/>
    <n v="0"/>
    <n v="0"/>
    <n v="159"/>
    <n v="0"/>
    <n v="410"/>
    <n v="0"/>
    <n v="0"/>
    <n v="0"/>
    <n v="0"/>
    <n v="0"/>
    <n v="257"/>
    <n v="0"/>
    <n v="26"/>
    <n v="0"/>
    <n v="0"/>
    <n v="14"/>
    <n v="0"/>
  </r>
  <r>
    <n v="578"/>
    <m/>
    <s v="Elke M"/>
    <s v="Ocean Prince"/>
    <n v="2300351"/>
    <d v="2023-11-17T00:00:00"/>
    <x v="103"/>
    <n v="31"/>
    <n v="0"/>
    <n v="3160"/>
    <n v="1071"/>
    <n v="1510"/>
    <n v="58"/>
    <n v="0"/>
    <n v="0"/>
    <n v="0"/>
    <n v="0"/>
    <n v="0"/>
    <n v="0"/>
    <n v="0"/>
    <n v="0"/>
    <n v="159"/>
    <n v="0"/>
    <n v="410"/>
    <n v="0"/>
    <n v="0"/>
    <n v="0"/>
    <n v="0"/>
    <n v="0"/>
    <n v="257"/>
    <n v="0"/>
    <n v="26"/>
    <n v="0"/>
    <n v="0"/>
    <n v="14"/>
    <n v="0"/>
  </r>
  <r>
    <n v="578"/>
    <m/>
    <s v="Elke M"/>
    <s v="Capenis Investments"/>
    <n v="2300333"/>
    <d v="2023-11-17T00:00:00"/>
    <x v="103"/>
    <n v="11"/>
    <n v="0"/>
    <n v="1093"/>
    <n v="371"/>
    <n v="522"/>
    <n v="20"/>
    <n v="0"/>
    <n v="0"/>
    <n v="0"/>
    <n v="0"/>
    <n v="0"/>
    <n v="0"/>
    <n v="0"/>
    <n v="0"/>
    <n v="55"/>
    <n v="0"/>
    <n v="142"/>
    <n v="0"/>
    <n v="0"/>
    <n v="0"/>
    <n v="0"/>
    <n v="0"/>
    <n v="89"/>
    <n v="0"/>
    <n v="9"/>
    <n v="0"/>
    <n v="0"/>
    <n v="5"/>
    <n v="0"/>
  </r>
  <r>
    <n v="580"/>
    <m/>
    <s v="Alayah"/>
    <s v="Ulwandle Inshore (PTY) LTD"/>
    <n v="2304731"/>
    <d v="2023-11-20T00:00:00"/>
    <x v="131"/>
    <n v="66"/>
    <n v="74"/>
    <n v="1030"/>
    <n v="2"/>
    <n v="71"/>
    <n v="0"/>
    <n v="0"/>
    <n v="0"/>
    <n v="0"/>
    <n v="0"/>
    <n v="132"/>
    <n v="0"/>
    <n v="0"/>
    <n v="0"/>
    <n v="278"/>
    <n v="1"/>
    <n v="420"/>
    <n v="0"/>
    <n v="0"/>
    <n v="0"/>
    <n v="0"/>
    <n v="132.09"/>
    <n v="48"/>
    <n v="0"/>
    <n v="5"/>
    <n v="0"/>
    <n v="1"/>
    <n v="8"/>
    <n v="0"/>
  </r>
  <r>
    <n v="583"/>
    <m/>
    <s v="Alayah"/>
    <s v="Ulwandle Inshore (PTY) LTD"/>
    <n v="2304731"/>
    <d v="2023-11-16T00:00:00"/>
    <x v="132"/>
    <n v="318"/>
    <n v="297"/>
    <n v="3372"/>
    <n v="14"/>
    <n v="1400"/>
    <n v="0"/>
    <n v="0"/>
    <n v="0"/>
    <n v="0"/>
    <n v="0"/>
    <n v="202"/>
    <n v="0"/>
    <n v="0"/>
    <n v="0"/>
    <n v="789"/>
    <n v="152"/>
    <n v="769"/>
    <n v="0"/>
    <n v="0"/>
    <n v="0"/>
    <n v="0"/>
    <n v="271.95"/>
    <n v="500"/>
    <n v="0"/>
    <n v="30"/>
    <n v="0"/>
    <n v="9"/>
    <n v="12"/>
    <n v="36"/>
  </r>
  <r>
    <n v="586"/>
    <m/>
    <s v="Alayah"/>
    <s v="Ulwandle Inshore (PTY) LTD"/>
    <n v="2304731"/>
    <d v="2023-11-12T00:00:00"/>
    <x v="108"/>
    <n v="39"/>
    <n v="68"/>
    <n v="913"/>
    <n v="0"/>
    <n v="463"/>
    <n v="0"/>
    <n v="0"/>
    <n v="0"/>
    <n v="0"/>
    <n v="0"/>
    <n v="64"/>
    <n v="0"/>
    <n v="0"/>
    <n v="0"/>
    <n v="286"/>
    <n v="0"/>
    <n v="551"/>
    <n v="0"/>
    <n v="0"/>
    <n v="0"/>
    <n v="0"/>
    <n v="51.8"/>
    <n v="87"/>
    <n v="0"/>
    <n v="70"/>
    <n v="0"/>
    <n v="0"/>
    <n v="6"/>
    <n v="0"/>
  </r>
  <r>
    <n v="589"/>
    <m/>
    <s v="Alayah"/>
    <s v="Ulwandle Inshore (PTY) LTD"/>
    <n v="2304731"/>
    <d v="2023-11-07T00:00:00"/>
    <x v="133"/>
    <n v="42"/>
    <n v="202"/>
    <n v="1947"/>
    <n v="70"/>
    <n v="968"/>
    <n v="0"/>
    <n v="0"/>
    <n v="0"/>
    <n v="0"/>
    <n v="0"/>
    <n v="352"/>
    <n v="0"/>
    <n v="0"/>
    <n v="0"/>
    <n v="898"/>
    <n v="80"/>
    <n v="1529"/>
    <n v="0"/>
    <n v="0"/>
    <n v="0"/>
    <n v="0"/>
    <n v="134.68"/>
    <n v="138"/>
    <n v="0"/>
    <n v="214"/>
    <n v="0"/>
    <n v="4"/>
    <n v="9"/>
    <n v="0"/>
  </r>
  <r>
    <n v="592"/>
    <m/>
    <s v="Leeukop"/>
    <s v="Sea Vuna Fishing"/>
    <n v="2300647"/>
    <d v="2023-10-11T00:00:00"/>
    <x v="101"/>
    <n v="187"/>
    <n v="147"/>
    <n v="8383"/>
    <n v="15"/>
    <n v="1921"/>
    <n v="24"/>
    <n v="0"/>
    <n v="252"/>
    <n v="0"/>
    <n v="0"/>
    <n v="564"/>
    <n v="0"/>
    <n v="0"/>
    <n v="0"/>
    <n v="1933"/>
    <n v="251"/>
    <n v="1727"/>
    <n v="0"/>
    <n v="7.77"/>
    <n v="0"/>
    <n v="145.04"/>
    <n v="0"/>
    <n v="3166"/>
    <n v="0"/>
    <n v="1119"/>
    <n v="0"/>
    <n v="136"/>
    <n v="6"/>
    <n v="0"/>
  </r>
  <r>
    <n v="595"/>
    <m/>
    <s v="Leeukop"/>
    <s v="Sea Vuna Fishing"/>
    <n v="2300647"/>
    <d v="2023-10-23T00:00:00"/>
    <x v="134"/>
    <n v="265"/>
    <n v="209"/>
    <n v="4057"/>
    <n v="6"/>
    <n v="1868"/>
    <n v="24"/>
    <n v="16"/>
    <n v="41"/>
    <n v="0"/>
    <n v="0"/>
    <n v="504"/>
    <n v="0"/>
    <n v="0"/>
    <n v="0"/>
    <n v="1618"/>
    <n v="2366"/>
    <n v="4086"/>
    <n v="0"/>
    <n v="7.77"/>
    <n v="0"/>
    <n v="157.98999999999998"/>
    <n v="0"/>
    <n v="1054"/>
    <n v="0"/>
    <n v="2060"/>
    <n v="0"/>
    <n v="761"/>
    <n v="20"/>
    <n v="0"/>
  </r>
  <r>
    <n v="598"/>
    <m/>
    <s v="Christelle"/>
    <s v="Sea Vuna Fishing"/>
    <n v="2300514"/>
    <d v="2023-09-27T00:00:00"/>
    <x v="135"/>
    <n v="30"/>
    <n v="55"/>
    <n v="3641"/>
    <n v="18"/>
    <n v="356"/>
    <n v="0"/>
    <n v="0"/>
    <n v="18"/>
    <n v="0"/>
    <n v="0"/>
    <n v="856"/>
    <n v="0"/>
    <n v="0"/>
    <n v="0"/>
    <n v="734"/>
    <n v="499"/>
    <n v="1676"/>
    <n v="0"/>
    <n v="15.54"/>
    <n v="0"/>
    <n v="277.13"/>
    <n v="0"/>
    <n v="594"/>
    <n v="0"/>
    <n v="549"/>
    <n v="0"/>
    <n v="122"/>
    <n v="6"/>
    <n v="0"/>
  </r>
  <r>
    <n v="600"/>
    <m/>
    <s v="Christelle"/>
    <s v="Sea Vuna Fishing"/>
    <n v="2300514"/>
    <d v="2023-10-04T00:00:00"/>
    <x v="136"/>
    <n v="11"/>
    <n v="32"/>
    <n v="1333"/>
    <n v="2"/>
    <n v="0"/>
    <n v="0"/>
    <n v="0"/>
    <n v="0"/>
    <n v="0"/>
    <n v="0"/>
    <n v="40"/>
    <n v="0"/>
    <n v="0"/>
    <n v="0"/>
    <n v="188"/>
    <n v="18"/>
    <n v="2"/>
    <n v="0"/>
    <n v="10.36"/>
    <n v="0"/>
    <n v="214.97"/>
    <n v="0"/>
    <n v="1896"/>
    <n v="0"/>
    <n v="0"/>
    <n v="0"/>
    <n v="0"/>
    <n v="0"/>
    <n v="0"/>
  </r>
  <r>
    <n v="603"/>
    <m/>
    <s v="Christelle"/>
    <s v="Sea Vuna Fishing"/>
    <n v="2300514"/>
    <d v="2023-10-11T00:00:00"/>
    <x v="101"/>
    <n v="157"/>
    <n v="33"/>
    <n v="7939"/>
    <n v="50"/>
    <n v="100"/>
    <n v="45"/>
    <n v="2"/>
    <n v="82"/>
    <n v="0"/>
    <n v="0"/>
    <n v="384"/>
    <n v="0"/>
    <n v="0"/>
    <n v="0"/>
    <n v="1855"/>
    <n v="36"/>
    <n v="658"/>
    <n v="0"/>
    <n v="18.13"/>
    <n v="0"/>
    <n v="341.88"/>
    <n v="0"/>
    <n v="4340"/>
    <n v="0"/>
    <n v="434"/>
    <n v="0"/>
    <n v="302"/>
    <n v="3"/>
    <n v="0"/>
  </r>
  <r>
    <n v="606"/>
    <m/>
    <s v="Christelle"/>
    <s v="Sea Vuna Fishing"/>
    <n v="2300514"/>
    <d v="2023-10-23T00:00:00"/>
    <x v="134"/>
    <n v="103"/>
    <n v="43"/>
    <n v="2773"/>
    <n v="8"/>
    <n v="182"/>
    <n v="28"/>
    <n v="11"/>
    <n v="0"/>
    <n v="0"/>
    <n v="0"/>
    <n v="656"/>
    <n v="0"/>
    <n v="0"/>
    <n v="0"/>
    <n v="1047"/>
    <n v="1203"/>
    <n v="2312"/>
    <n v="0"/>
    <n v="28.49"/>
    <n v="0"/>
    <n v="562.03"/>
    <n v="0"/>
    <n v="1570"/>
    <n v="0"/>
    <n v="1353"/>
    <n v="0"/>
    <n v="641"/>
    <n v="5"/>
    <n v="0"/>
  </r>
  <r>
    <n v="609"/>
    <m/>
    <s v="Leonora"/>
    <s v="Sea Vuna Fishing"/>
    <n v="2300585"/>
    <d v="2023-09-27T00:00:00"/>
    <x v="137"/>
    <n v="66"/>
    <n v="83"/>
    <n v="4046"/>
    <n v="24"/>
    <n v="282"/>
    <n v="0"/>
    <n v="0"/>
    <n v="4"/>
    <n v="0"/>
    <n v="0"/>
    <n v="470"/>
    <n v="0"/>
    <n v="0"/>
    <n v="0"/>
    <n v="902"/>
    <n v="474"/>
    <n v="2154"/>
    <n v="0"/>
    <n v="15.54"/>
    <n v="0"/>
    <n v="277.13"/>
    <n v="0"/>
    <n v="438"/>
    <n v="0"/>
    <n v="654"/>
    <n v="0"/>
    <n v="256"/>
    <n v="10"/>
    <n v="0"/>
  </r>
  <r>
    <n v="612"/>
    <m/>
    <s v="Leonora"/>
    <s v="Sea Vuna Fishing"/>
    <n v="2300585"/>
    <d v="2023-10-11T00:00:00"/>
    <x v="138"/>
    <n v="126"/>
    <n v="66"/>
    <n v="2260"/>
    <n v="5"/>
    <n v="22"/>
    <n v="0"/>
    <n v="0"/>
    <n v="0"/>
    <n v="0"/>
    <n v="0"/>
    <n v="180"/>
    <n v="0"/>
    <n v="0"/>
    <n v="0"/>
    <n v="294"/>
    <n v="122"/>
    <n v="1335"/>
    <n v="0"/>
    <n v="0"/>
    <n v="0"/>
    <n v="15.54"/>
    <n v="0"/>
    <n v="710"/>
    <n v="0"/>
    <n v="497"/>
    <n v="0"/>
    <n v="122"/>
    <n v="19"/>
    <n v="0"/>
  </r>
  <r>
    <n v="615"/>
    <m/>
    <s v="Leonora"/>
    <s v="Sea Vuna Fishing"/>
    <n v="2300585"/>
    <d v="2023-10-17T00:00:00"/>
    <x v="139"/>
    <n v="72"/>
    <n v="59"/>
    <n v="1824"/>
    <n v="3"/>
    <n v="13"/>
    <n v="24"/>
    <n v="0"/>
    <n v="6"/>
    <n v="0"/>
    <n v="0"/>
    <n v="192"/>
    <n v="0"/>
    <n v="0"/>
    <n v="0"/>
    <n v="717"/>
    <n v="56"/>
    <n v="656"/>
    <n v="0"/>
    <n v="15.54"/>
    <n v="0"/>
    <n v="290.08"/>
    <n v="0"/>
    <n v="1622"/>
    <n v="0"/>
    <n v="308"/>
    <n v="0"/>
    <n v="86"/>
    <n v="5"/>
    <n v="0"/>
  </r>
  <r>
    <n v="618"/>
    <m/>
    <s v="Vuna Imbongi"/>
    <s v="Sea Vuna Fishing"/>
    <n v="2300463"/>
    <d v="2023-10-01T00:00:00"/>
    <x v="140"/>
    <n v="4"/>
    <n v="174"/>
    <n v="550"/>
    <n v="50"/>
    <n v="140"/>
    <n v="0"/>
    <n v="0"/>
    <n v="0"/>
    <n v="0"/>
    <n v="0"/>
    <n v="284"/>
    <n v="0"/>
    <n v="0"/>
    <n v="0"/>
    <n v="907"/>
    <n v="1764"/>
    <n v="4155"/>
    <n v="0"/>
    <n v="2.59"/>
    <n v="0"/>
    <n v="64.75"/>
    <n v="0"/>
    <n v="798"/>
    <n v="0"/>
    <n v="608"/>
    <n v="0"/>
    <n v="284"/>
    <n v="19"/>
    <n v="0"/>
  </r>
  <r>
    <n v="621"/>
    <m/>
    <s v="Vuna Imbongi"/>
    <s v="Sea Vuna Fishing"/>
    <n v="2300463"/>
    <d v="2023-10-17T00:00:00"/>
    <x v="141"/>
    <n v="22"/>
    <n v="125"/>
    <n v="98"/>
    <n v="0"/>
    <n v="0"/>
    <n v="0"/>
    <n v="0"/>
    <n v="0"/>
    <n v="0"/>
    <n v="0"/>
    <n v="320"/>
    <n v="0"/>
    <n v="0"/>
    <n v="0"/>
    <n v="63"/>
    <n v="16"/>
    <n v="5"/>
    <n v="0"/>
    <n v="12.95"/>
    <n v="0"/>
    <n v="222.73999999999998"/>
    <n v="0"/>
    <n v="996"/>
    <n v="0"/>
    <n v="0"/>
    <n v="0"/>
    <n v="0"/>
    <n v="2"/>
    <n v="0"/>
  </r>
  <r>
    <n v="624"/>
    <m/>
    <s v="Vuna Liesa"/>
    <s v="Sea Vuna Fishing"/>
    <n v="2300462"/>
    <d v="2023-09-27T00:00:00"/>
    <x v="142"/>
    <n v="0"/>
    <n v="32"/>
    <n v="499"/>
    <n v="8"/>
    <n v="0"/>
    <n v="0"/>
    <n v="0"/>
    <n v="0"/>
    <n v="0"/>
    <n v="0"/>
    <n v="472"/>
    <n v="0"/>
    <n v="0"/>
    <n v="0"/>
    <n v="382"/>
    <n v="393"/>
    <n v="463"/>
    <n v="0"/>
    <n v="18.13"/>
    <n v="0"/>
    <n v="365.19"/>
    <n v="0"/>
    <n v="1150"/>
    <n v="0"/>
    <n v="63"/>
    <n v="0"/>
    <n v="222"/>
    <n v="0"/>
    <n v="0"/>
  </r>
  <r>
    <n v="627"/>
    <m/>
    <s v="Lindiwe"/>
    <s v="Sea Vuna Fishing"/>
    <n v="2300464"/>
    <d v="2023-09-27T00:00:00"/>
    <x v="135"/>
    <n v="18"/>
    <n v="30"/>
    <n v="2815"/>
    <n v="27"/>
    <n v="159"/>
    <n v="3"/>
    <n v="0"/>
    <n v="56"/>
    <n v="0"/>
    <n v="0"/>
    <n v="1124"/>
    <n v="0"/>
    <n v="0"/>
    <n v="0"/>
    <n v="732"/>
    <n v="335"/>
    <n v="1519"/>
    <n v="0"/>
    <n v="7.77"/>
    <n v="0"/>
    <n v="121.72999999999999"/>
    <n v="0"/>
    <n v="116"/>
    <n v="0"/>
    <n v="372"/>
    <n v="0"/>
    <n v="280"/>
    <n v="5"/>
    <n v="0"/>
  </r>
  <r>
    <n v="630"/>
    <m/>
    <s v="Lindiwe"/>
    <s v="Sea Vuna Fishing"/>
    <n v="2300464"/>
    <d v="2023-10-03T00:00:00"/>
    <x v="140"/>
    <n v="14"/>
    <n v="25"/>
    <n v="1137"/>
    <n v="2"/>
    <n v="136"/>
    <n v="0"/>
    <n v="0"/>
    <n v="38"/>
    <n v="0"/>
    <n v="0"/>
    <n v="224"/>
    <n v="0"/>
    <n v="0"/>
    <n v="0"/>
    <n v="741"/>
    <n v="319"/>
    <n v="1030"/>
    <n v="0"/>
    <n v="2.59"/>
    <n v="0"/>
    <n v="72.52"/>
    <n v="0"/>
    <n v="300"/>
    <n v="0"/>
    <n v="239"/>
    <n v="0"/>
    <n v="125"/>
    <n v="12"/>
    <n v="0"/>
  </r>
  <r>
    <n v="633"/>
    <m/>
    <s v="Lindiwe"/>
    <s v="Sea Vuna Fishing"/>
    <n v="2300464"/>
    <d v="2023-10-18T00:00:00"/>
    <x v="141"/>
    <n v="0"/>
    <n v="19"/>
    <n v="25"/>
    <n v="0"/>
    <n v="0"/>
    <n v="0"/>
    <n v="0"/>
    <n v="0"/>
    <n v="0"/>
    <n v="0"/>
    <n v="460"/>
    <n v="0"/>
    <n v="0"/>
    <n v="0"/>
    <n v="87"/>
    <n v="0"/>
    <n v="7"/>
    <n v="0"/>
    <n v="7.77"/>
    <n v="0"/>
    <n v="132.09"/>
    <n v="0"/>
    <n v="706"/>
    <n v="0"/>
    <n v="0"/>
    <n v="0"/>
    <n v="3"/>
    <n v="0"/>
    <n v="0"/>
  </r>
  <r>
    <n v="636"/>
    <m/>
    <s v="Amsteldiep"/>
    <s v="Sea Vuna Fishing"/>
    <n v="2300465"/>
    <d v="2023-09-26T00:00:00"/>
    <x v="135"/>
    <n v="24"/>
    <n v="3"/>
    <n v="12674"/>
    <n v="78"/>
    <n v="239"/>
    <n v="279"/>
    <n v="7"/>
    <n v="79"/>
    <n v="0"/>
    <n v="0"/>
    <n v="1120"/>
    <n v="0"/>
    <n v="0"/>
    <n v="0"/>
    <n v="875"/>
    <n v="33"/>
    <n v="2722"/>
    <n v="0"/>
    <n v="0"/>
    <n v="0"/>
    <n v="0"/>
    <n v="0"/>
    <n v="462"/>
    <n v="0"/>
    <n v="276"/>
    <n v="0"/>
    <n v="838"/>
    <n v="0"/>
    <n v="0"/>
  </r>
  <r>
    <n v="639"/>
    <m/>
    <s v="Amsteldiep"/>
    <s v="Sea Vuna Fishing"/>
    <n v="2300465"/>
    <d v="2023-10-02T00:00:00"/>
    <x v="98"/>
    <n v="73"/>
    <n v="0"/>
    <n v="4143"/>
    <n v="6"/>
    <n v="149"/>
    <n v="24"/>
    <n v="2"/>
    <n v="35"/>
    <n v="0"/>
    <n v="0"/>
    <n v="468"/>
    <n v="0"/>
    <n v="0"/>
    <n v="0"/>
    <n v="386"/>
    <n v="78"/>
    <n v="1454"/>
    <n v="0"/>
    <n v="0"/>
    <n v="0"/>
    <n v="0"/>
    <n v="0"/>
    <n v="238"/>
    <n v="0"/>
    <n v="299"/>
    <n v="0"/>
    <n v="79"/>
    <n v="0"/>
    <n v="0"/>
  </r>
  <r>
    <n v="642"/>
    <m/>
    <s v="Amsteldiep"/>
    <s v="Sea Vuna Fishing"/>
    <n v="2300465"/>
    <d v="2023-10-10T00:00:00"/>
    <x v="143"/>
    <n v="32"/>
    <n v="2"/>
    <n v="10987"/>
    <n v="14"/>
    <n v="158"/>
    <n v="14"/>
    <n v="0"/>
    <n v="178"/>
    <n v="0"/>
    <n v="0"/>
    <n v="0"/>
    <n v="0"/>
    <n v="0"/>
    <n v="0"/>
    <n v="1086"/>
    <n v="7"/>
    <n v="1000"/>
    <n v="0"/>
    <n v="0"/>
    <n v="0"/>
    <n v="0"/>
    <n v="0"/>
    <n v="662"/>
    <n v="0"/>
    <n v="1135"/>
    <n v="0"/>
    <n v="68"/>
    <n v="0"/>
    <n v="0"/>
  </r>
  <r>
    <n v="645"/>
    <m/>
    <s v="Amsteldiep"/>
    <s v="Sea Vuna Fishing"/>
    <n v="2300465"/>
    <d v="2023-10-17T00:00:00"/>
    <x v="141"/>
    <n v="132"/>
    <n v="0"/>
    <n v="4377"/>
    <n v="12"/>
    <n v="314"/>
    <n v="52"/>
    <n v="43"/>
    <n v="0"/>
    <n v="0"/>
    <n v="0"/>
    <n v="0"/>
    <n v="0"/>
    <n v="0"/>
    <n v="0"/>
    <n v="248"/>
    <n v="2"/>
    <n v="2673"/>
    <n v="0"/>
    <n v="0"/>
    <n v="0"/>
    <n v="0"/>
    <n v="0"/>
    <n v="794"/>
    <n v="2"/>
    <n v="193"/>
    <n v="0"/>
    <n v="29"/>
    <n v="0"/>
    <n v="0"/>
  </r>
  <r>
    <n v="648"/>
    <m/>
    <s v="Amsteldiep"/>
    <s v="Sea Vuna Fishing"/>
    <n v="2300465"/>
    <d v="2023-10-24T00:00:00"/>
    <x v="144"/>
    <n v="82"/>
    <n v="6"/>
    <n v="4784"/>
    <n v="8"/>
    <n v="465"/>
    <n v="76"/>
    <n v="0"/>
    <n v="152"/>
    <n v="0"/>
    <n v="0"/>
    <n v="904"/>
    <n v="0"/>
    <n v="0"/>
    <n v="3"/>
    <n v="1348"/>
    <n v="64"/>
    <n v="1334"/>
    <n v="0"/>
    <n v="0"/>
    <n v="0"/>
    <n v="0"/>
    <n v="0"/>
    <n v="964"/>
    <n v="0"/>
    <n v="686"/>
    <n v="0"/>
    <n v="290"/>
    <n v="0"/>
    <n v="0"/>
  </r>
  <r>
    <n v="651"/>
    <m/>
    <s v="Amsteldiep"/>
    <s v="Sea Vuna Fishing"/>
    <n v="2300465"/>
    <d v="2023-08-31T00:00:00"/>
    <x v="145"/>
    <n v="105"/>
    <n v="3"/>
    <n v="3151"/>
    <n v="30"/>
    <n v="1086"/>
    <n v="224"/>
    <n v="0"/>
    <n v="0"/>
    <n v="0"/>
    <n v="0"/>
    <n v="320"/>
    <n v="0"/>
    <n v="0"/>
    <n v="0"/>
    <n v="435"/>
    <n v="217"/>
    <n v="8695"/>
    <n v="0"/>
    <n v="0"/>
    <n v="0"/>
    <n v="0"/>
    <n v="0"/>
    <n v="188"/>
    <n v="3"/>
    <n v="1305"/>
    <n v="0"/>
    <n v="149"/>
    <n v="164"/>
    <n v="0"/>
  </r>
  <r>
    <n v="654"/>
    <m/>
    <s v="Amsteldiep"/>
    <s v="Sea Vuna Fishing"/>
    <n v="2300465"/>
    <d v="2023-09-06T00:00:00"/>
    <x v="95"/>
    <n v="21"/>
    <n v="1"/>
    <n v="10121"/>
    <n v="230"/>
    <n v="387"/>
    <n v="299"/>
    <n v="0"/>
    <n v="0"/>
    <n v="0"/>
    <n v="0"/>
    <n v="1016"/>
    <n v="0"/>
    <n v="0"/>
    <n v="0"/>
    <n v="875"/>
    <n v="279"/>
    <n v="2858"/>
    <n v="0"/>
    <n v="0"/>
    <n v="0"/>
    <n v="0"/>
    <n v="0"/>
    <n v="4206"/>
    <n v="0"/>
    <n v="193"/>
    <n v="0"/>
    <n v="49"/>
    <n v="168"/>
    <n v="0"/>
  </r>
  <r>
    <n v="657"/>
    <m/>
    <s v="Amsteldiep"/>
    <s v="Sea Vuna Fishing"/>
    <n v="2300465"/>
    <d v="2023-09-17T00:00:00"/>
    <x v="146"/>
    <n v="122"/>
    <n v="0"/>
    <n v="6872"/>
    <n v="79"/>
    <n v="97"/>
    <n v="0"/>
    <n v="0"/>
    <n v="32"/>
    <n v="0"/>
    <n v="0"/>
    <n v="228"/>
    <n v="0"/>
    <n v="0"/>
    <n v="0"/>
    <n v="678"/>
    <n v="143"/>
    <n v="7871"/>
    <n v="0"/>
    <n v="0"/>
    <n v="0"/>
    <n v="0"/>
    <n v="0"/>
    <n v="644"/>
    <n v="0"/>
    <n v="303"/>
    <n v="0"/>
    <n v="1084"/>
    <n v="25"/>
    <n v="0"/>
  </r>
  <r>
    <n v="660"/>
    <m/>
    <s v="Leonora"/>
    <s v="Sea Vuna Fishing"/>
    <n v="2300585"/>
    <d v="2023-09-03T00:00:00"/>
    <x v="145"/>
    <n v="7"/>
    <n v="3"/>
    <n v="134"/>
    <n v="14"/>
    <n v="1"/>
    <n v="0"/>
    <n v="0"/>
    <n v="0"/>
    <n v="0"/>
    <n v="0"/>
    <n v="376"/>
    <n v="0"/>
    <n v="0"/>
    <n v="0"/>
    <n v="31"/>
    <n v="100"/>
    <n v="487"/>
    <n v="0"/>
    <n v="2.59"/>
    <n v="0"/>
    <n v="31.08"/>
    <n v="0"/>
    <n v="558"/>
    <n v="0"/>
    <n v="102"/>
    <n v="0"/>
    <n v="19"/>
    <n v="2"/>
    <n v="0"/>
  </r>
  <r>
    <n v="663"/>
    <m/>
    <s v="Leonora"/>
    <s v="Sea Vuna Fishing"/>
    <n v="2300585"/>
    <d v="2023-09-08T00:00:00"/>
    <x v="147"/>
    <n v="174"/>
    <n v="21"/>
    <n v="291"/>
    <n v="6"/>
    <n v="0"/>
    <n v="0"/>
    <n v="0"/>
    <n v="0"/>
    <n v="0"/>
    <n v="0"/>
    <n v="144"/>
    <n v="0"/>
    <n v="0"/>
    <n v="0"/>
    <n v="88"/>
    <n v="168"/>
    <n v="636"/>
    <n v="0"/>
    <n v="5.18"/>
    <n v="0"/>
    <n v="80.289999999999992"/>
    <n v="0"/>
    <n v="618"/>
    <n v="0"/>
    <n v="97"/>
    <n v="0"/>
    <n v="20"/>
    <n v="20"/>
    <n v="0"/>
  </r>
  <r>
    <n v="666"/>
    <m/>
    <s v="Leonora"/>
    <s v="Sea Vuna Fishing"/>
    <n v="2300585"/>
    <d v="2023-09-12T00:00:00"/>
    <x v="148"/>
    <n v="1"/>
    <n v="42"/>
    <n v="102"/>
    <n v="3"/>
    <n v="2"/>
    <n v="0"/>
    <n v="0"/>
    <n v="0"/>
    <n v="0"/>
    <n v="0"/>
    <n v="336"/>
    <n v="0"/>
    <n v="0"/>
    <n v="0"/>
    <n v="83"/>
    <n v="256"/>
    <n v="89"/>
    <n v="0"/>
    <n v="5.18"/>
    <n v="0"/>
    <n v="77.699999999999989"/>
    <n v="0"/>
    <n v="482"/>
    <n v="0"/>
    <n v="227"/>
    <n v="0"/>
    <n v="18"/>
    <n v="1"/>
    <n v="0"/>
  </r>
  <r>
    <n v="669"/>
    <m/>
    <s v="Leonora"/>
    <s v="Sea Vuna Fishing"/>
    <n v="2300585"/>
    <d v="2023-09-20T00:00:00"/>
    <x v="149"/>
    <n v="99"/>
    <n v="40"/>
    <n v="1117"/>
    <n v="71"/>
    <n v="0"/>
    <n v="0"/>
    <n v="0"/>
    <n v="0"/>
    <n v="0"/>
    <n v="0"/>
    <n v="276"/>
    <n v="0"/>
    <n v="0"/>
    <n v="0"/>
    <n v="195"/>
    <n v="47"/>
    <n v="1554"/>
    <n v="0"/>
    <n v="0"/>
    <n v="0"/>
    <n v="15.54"/>
    <n v="0"/>
    <n v="640"/>
    <n v="2"/>
    <n v="142"/>
    <n v="0"/>
    <n v="8"/>
    <n v="3"/>
    <n v="0"/>
  </r>
  <r>
    <n v="672"/>
    <m/>
    <s v="Vuna Elita"/>
    <s v="Sea Vuna Fishing"/>
    <n v="2300598"/>
    <d v="2023-08-30T00:00:00"/>
    <x v="145"/>
    <n v="59"/>
    <n v="0"/>
    <n v="4843"/>
    <n v="8729"/>
    <n v="795"/>
    <n v="437"/>
    <n v="122"/>
    <n v="240"/>
    <n v="0"/>
    <n v="0"/>
    <n v="0"/>
    <n v="0"/>
    <n v="0"/>
    <n v="0"/>
    <n v="228"/>
    <n v="0"/>
    <n v="1759"/>
    <n v="0"/>
    <n v="0"/>
    <n v="0"/>
    <n v="0"/>
    <n v="0"/>
    <n v="148"/>
    <n v="43"/>
    <n v="179"/>
    <n v="0"/>
    <n v="116"/>
    <n v="0"/>
    <n v="0"/>
  </r>
  <r>
    <n v="675"/>
    <m/>
    <s v="Vuna Elita"/>
    <s v="Sea Vuna Fishing"/>
    <n v="2300598"/>
    <d v="2023-09-17T00:00:00"/>
    <x v="146"/>
    <n v="175"/>
    <n v="0"/>
    <n v="11483"/>
    <n v="1684"/>
    <n v="830"/>
    <n v="347"/>
    <n v="16"/>
    <n v="76"/>
    <n v="0"/>
    <n v="0"/>
    <n v="0"/>
    <n v="0"/>
    <n v="0"/>
    <n v="0"/>
    <n v="900"/>
    <n v="1"/>
    <n v="8442"/>
    <n v="0"/>
    <n v="0"/>
    <n v="0"/>
    <n v="0"/>
    <n v="0"/>
    <n v="3884"/>
    <n v="0"/>
    <n v="411"/>
    <n v="0"/>
    <n v="429"/>
    <n v="14"/>
    <n v="0"/>
  </r>
  <r>
    <n v="678"/>
    <m/>
    <s v="Vuna Liesa"/>
    <s v="Sea Vuna Fishing"/>
    <n v="2300462"/>
    <d v="2023-09-08T00:00:00"/>
    <x v="147"/>
    <n v="2"/>
    <n v="0"/>
    <n v="26"/>
    <n v="3"/>
    <n v="0"/>
    <n v="0"/>
    <n v="0"/>
    <n v="0"/>
    <n v="0"/>
    <n v="0"/>
    <n v="0"/>
    <n v="0"/>
    <n v="0"/>
    <n v="0"/>
    <n v="88"/>
    <n v="13"/>
    <n v="12"/>
    <n v="0"/>
    <n v="0"/>
    <n v="0"/>
    <n v="2.59"/>
    <n v="0"/>
    <n v="78"/>
    <n v="0"/>
    <n v="0"/>
    <n v="0"/>
    <n v="0"/>
    <n v="0"/>
    <n v="0"/>
  </r>
  <r>
    <n v="681"/>
    <m/>
    <s v="Vuna Liesa"/>
    <s v="Sea Vuna Fishing"/>
    <n v="2300462"/>
    <d v="2023-09-12T00:00:00"/>
    <x v="148"/>
    <n v="0"/>
    <n v="4"/>
    <n v="187"/>
    <n v="0"/>
    <n v="0"/>
    <n v="0"/>
    <n v="0"/>
    <n v="0"/>
    <n v="0"/>
    <n v="0"/>
    <n v="252"/>
    <n v="0"/>
    <n v="0"/>
    <n v="0"/>
    <n v="60"/>
    <n v="12"/>
    <n v="10"/>
    <n v="0"/>
    <n v="2.59"/>
    <n v="0"/>
    <n v="62.16"/>
    <n v="0"/>
    <n v="450"/>
    <n v="0"/>
    <n v="1"/>
    <n v="0"/>
    <n v="0"/>
    <n v="0"/>
    <n v="0"/>
  </r>
  <r>
    <n v="684"/>
    <m/>
    <s v="Vuna Liesa"/>
    <s v="Sea Vuna Fishing"/>
    <n v="2300462"/>
    <d v="2023-09-21T00:00:00"/>
    <x v="149"/>
    <n v="0"/>
    <n v="6"/>
    <n v="340"/>
    <n v="2"/>
    <n v="0"/>
    <n v="0"/>
    <n v="0"/>
    <n v="0"/>
    <n v="0"/>
    <n v="0"/>
    <n v="200"/>
    <n v="0"/>
    <n v="0"/>
    <n v="0"/>
    <n v="105"/>
    <n v="71"/>
    <n v="310"/>
    <n v="0"/>
    <n v="7.77"/>
    <n v="0"/>
    <n v="139.85999999999999"/>
    <n v="0"/>
    <n v="270"/>
    <n v="0"/>
    <n v="28"/>
    <n v="0"/>
    <n v="2"/>
    <n v="1"/>
    <n v="0"/>
  </r>
  <r>
    <n v="687"/>
    <m/>
    <s v="Lindiwe"/>
    <s v="Sea Vuna Fishing"/>
    <n v="2300464"/>
    <d v="2023-08-27T00:00:00"/>
    <x v="150"/>
    <n v="12"/>
    <n v="56"/>
    <n v="2437"/>
    <n v="3"/>
    <n v="0"/>
    <n v="0"/>
    <n v="0"/>
    <n v="0"/>
    <n v="0"/>
    <n v="0"/>
    <n v="2308"/>
    <n v="0"/>
    <n v="0"/>
    <n v="0"/>
    <n v="553"/>
    <n v="245"/>
    <n v="67"/>
    <n v="0"/>
    <n v="18.13"/>
    <n v="0"/>
    <n v="365.19"/>
    <n v="0"/>
    <n v="3592"/>
    <n v="0"/>
    <n v="22"/>
    <n v="0"/>
    <n v="2"/>
    <n v="4"/>
    <n v="0"/>
  </r>
  <r>
    <n v="690"/>
    <m/>
    <s v="Lindiwe"/>
    <s v="Sea Vuna Fishing"/>
    <n v="2300464"/>
    <d v="2023-09-08T00:00:00"/>
    <x v="147"/>
    <n v="4"/>
    <n v="33"/>
    <n v="111"/>
    <n v="11"/>
    <n v="0"/>
    <n v="0"/>
    <n v="0"/>
    <n v="0"/>
    <n v="0"/>
    <n v="0"/>
    <n v="660"/>
    <n v="0"/>
    <n v="0"/>
    <n v="0"/>
    <n v="76"/>
    <n v="31"/>
    <n v="179"/>
    <n v="0"/>
    <n v="5.18"/>
    <n v="0"/>
    <n v="77.699999999999989"/>
    <n v="0"/>
    <n v="482"/>
    <n v="0"/>
    <n v="33"/>
    <n v="0"/>
    <n v="9"/>
    <n v="6"/>
    <n v="0"/>
  </r>
  <r>
    <n v="693"/>
    <m/>
    <s v="Lindiwe"/>
    <s v="Sea Vuna Fishing"/>
    <n v="2300464"/>
    <d v="2023-09-12T00:00:00"/>
    <x v="148"/>
    <n v="0"/>
    <n v="7"/>
    <n v="111"/>
    <n v="0"/>
    <n v="0"/>
    <n v="0"/>
    <n v="0"/>
    <n v="0"/>
    <n v="0"/>
    <n v="0"/>
    <n v="452"/>
    <n v="0"/>
    <n v="0"/>
    <n v="0"/>
    <n v="53"/>
    <n v="25"/>
    <n v="67"/>
    <n v="0"/>
    <n v="5.18"/>
    <n v="0"/>
    <n v="77.699999999999989"/>
    <n v="0"/>
    <n v="1266"/>
    <n v="0"/>
    <n v="17"/>
    <n v="0"/>
    <n v="0"/>
    <n v="1"/>
    <n v="0"/>
  </r>
  <r>
    <n v="696"/>
    <m/>
    <s v="Lindiwe"/>
    <s v="Sea Vuna Fishing"/>
    <n v="2300464"/>
    <d v="2023-09-20T00:00:00"/>
    <x v="151"/>
    <n v="104"/>
    <n v="12"/>
    <n v="2421"/>
    <n v="135"/>
    <n v="7"/>
    <n v="7"/>
    <n v="0"/>
    <n v="4"/>
    <n v="0"/>
    <n v="0"/>
    <n v="524"/>
    <n v="0"/>
    <n v="0"/>
    <n v="0"/>
    <n v="364"/>
    <n v="74"/>
    <n v="2864"/>
    <n v="0"/>
    <n v="0"/>
    <n v="0"/>
    <n v="10.36"/>
    <n v="0"/>
    <n v="844"/>
    <n v="4"/>
    <n v="86"/>
    <n v="0"/>
    <n v="294"/>
    <n v="5"/>
    <n v="0"/>
  </r>
  <r>
    <n v="699"/>
    <m/>
    <s v="Vuna Imbongi"/>
    <s v="Sea Vuna Fishing"/>
    <n v="2300463"/>
    <d v="2023-08-27T00:00:00"/>
    <x v="150"/>
    <n v="14"/>
    <n v="54"/>
    <n v="2689"/>
    <n v="12"/>
    <n v="7"/>
    <n v="0"/>
    <n v="0"/>
    <n v="0"/>
    <n v="0"/>
    <n v="0"/>
    <n v="880"/>
    <n v="0"/>
    <n v="0"/>
    <n v="0"/>
    <n v="602"/>
    <n v="736"/>
    <n v="718"/>
    <n v="0"/>
    <n v="25.9"/>
    <n v="0"/>
    <n v="486.91999999999996"/>
    <n v="0"/>
    <n v="2238"/>
    <n v="2"/>
    <n v="136"/>
    <n v="0"/>
    <n v="36"/>
    <n v="39"/>
    <n v="0"/>
  </r>
  <r>
    <n v="702"/>
    <m/>
    <s v="Vuna Imbongi"/>
    <s v="Sea Vuna Fishing"/>
    <n v="2300463"/>
    <d v="2023-09-08T00:00:00"/>
    <x v="148"/>
    <n v="1"/>
    <n v="229"/>
    <n v="1064"/>
    <n v="21"/>
    <n v="5"/>
    <n v="0"/>
    <n v="0"/>
    <n v="0"/>
    <n v="0"/>
    <n v="0"/>
    <n v="608"/>
    <n v="0"/>
    <n v="0"/>
    <n v="0"/>
    <n v="217"/>
    <n v="245"/>
    <n v="211"/>
    <n v="0"/>
    <n v="15.54"/>
    <n v="0"/>
    <n v="279.71999999999997"/>
    <n v="0"/>
    <n v="1594"/>
    <n v="0"/>
    <n v="27"/>
    <n v="0"/>
    <n v="38"/>
    <n v="6"/>
    <n v="0"/>
  </r>
  <r>
    <n v="705"/>
    <m/>
    <s v="Vuna Imbongi"/>
    <s v="Sea Vuna Fishing"/>
    <n v="2300463"/>
    <d v="2023-09-21T00:00:00"/>
    <x v="152"/>
    <n v="3"/>
    <n v="254"/>
    <n v="558"/>
    <n v="144"/>
    <n v="64"/>
    <n v="0"/>
    <n v="0"/>
    <n v="0"/>
    <n v="0"/>
    <n v="0"/>
    <n v="460"/>
    <n v="0"/>
    <n v="0"/>
    <n v="0"/>
    <n v="623"/>
    <n v="830"/>
    <n v="1706"/>
    <n v="0"/>
    <n v="5.18"/>
    <n v="0"/>
    <n v="90.649999999999991"/>
    <n v="0"/>
    <n v="670"/>
    <n v="0"/>
    <n v="200"/>
    <n v="0"/>
    <n v="107"/>
    <n v="14"/>
    <n v="0"/>
  </r>
  <r>
    <n v="708"/>
    <m/>
    <s v="Christelle"/>
    <s v="Sea Vuna Fishing"/>
    <n v="2300514"/>
    <d v="2023-08-26T00:00:00"/>
    <x v="150"/>
    <n v="27"/>
    <n v="1"/>
    <n v="7033"/>
    <n v="499"/>
    <n v="140"/>
    <n v="925"/>
    <n v="0"/>
    <n v="0"/>
    <n v="0"/>
    <n v="0"/>
    <n v="332"/>
    <n v="0"/>
    <n v="0"/>
    <n v="0"/>
    <n v="766"/>
    <n v="47"/>
    <n v="662"/>
    <n v="0"/>
    <n v="2.59"/>
    <n v="0"/>
    <n v="67.34"/>
    <n v="0"/>
    <n v="1458"/>
    <n v="13"/>
    <n v="109"/>
    <n v="0"/>
    <n v="63"/>
    <n v="0"/>
    <n v="0"/>
  </r>
  <r>
    <n v="711"/>
    <m/>
    <s v="Christelle"/>
    <s v="Sea Vuna Fishing"/>
    <n v="2300514"/>
    <d v="2023-09-07T00:00:00"/>
    <x v="95"/>
    <n v="69"/>
    <n v="43"/>
    <n v="3393"/>
    <n v="254"/>
    <n v="477"/>
    <n v="0"/>
    <n v="0"/>
    <n v="4"/>
    <n v="0"/>
    <n v="0"/>
    <n v="688"/>
    <n v="0"/>
    <n v="0"/>
    <n v="0"/>
    <n v="815"/>
    <n v="193"/>
    <n v="3415"/>
    <n v="0"/>
    <n v="20.72"/>
    <n v="0"/>
    <n v="391.09"/>
    <n v="0"/>
    <n v="964"/>
    <n v="2"/>
    <n v="182"/>
    <n v="0"/>
    <n v="73"/>
    <n v="95"/>
    <n v="0"/>
  </r>
  <r>
    <n v="714"/>
    <m/>
    <s v="Christelle"/>
    <s v="Sea Vuna Fishing"/>
    <n v="2300514"/>
    <d v="2023-09-20T00:00:00"/>
    <x v="151"/>
    <n v="93"/>
    <n v="37"/>
    <n v="5414"/>
    <n v="207"/>
    <n v="6"/>
    <n v="0"/>
    <n v="0"/>
    <n v="0"/>
    <n v="0"/>
    <n v="0"/>
    <n v="280"/>
    <n v="0"/>
    <n v="0"/>
    <n v="0"/>
    <n v="728"/>
    <n v="31"/>
    <n v="4333"/>
    <n v="0"/>
    <n v="2.59"/>
    <n v="0"/>
    <n v="33.67"/>
    <n v="0"/>
    <n v="1248"/>
    <n v="0"/>
    <n v="237"/>
    <n v="0"/>
    <n v="126"/>
    <n v="7"/>
    <n v="0"/>
  </r>
  <r>
    <n v="717"/>
    <m/>
    <s v="Christelle"/>
    <s v="Sea Vuna Fishing"/>
    <n v="2300514"/>
    <d v="2023-07-31T00:00:00"/>
    <x v="153"/>
    <n v="66"/>
    <n v="0"/>
    <n v="10635"/>
    <n v="33"/>
    <n v="229"/>
    <n v="10"/>
    <n v="0"/>
    <n v="0"/>
    <n v="0"/>
    <n v="0"/>
    <n v="52"/>
    <n v="0"/>
    <n v="0"/>
    <n v="0"/>
    <n v="1144"/>
    <n v="0"/>
    <n v="5195"/>
    <n v="0"/>
    <n v="0"/>
    <n v="0"/>
    <n v="20.72"/>
    <n v="0"/>
    <n v="248"/>
    <n v="0"/>
    <n v="120"/>
    <n v="0"/>
    <n v="84"/>
    <n v="0"/>
    <n v="0"/>
  </r>
  <r>
    <n v="720"/>
    <m/>
    <s v="Christelle"/>
    <s v="Sea Vuna Fishing"/>
    <n v="2300514"/>
    <d v="2023-08-08T00:00:00"/>
    <x v="154"/>
    <n v="4"/>
    <n v="47"/>
    <n v="9077"/>
    <n v="106"/>
    <n v="873"/>
    <n v="3"/>
    <n v="4"/>
    <n v="47"/>
    <n v="0"/>
    <n v="0"/>
    <n v="1148"/>
    <n v="0"/>
    <n v="0"/>
    <n v="0"/>
    <n v="809"/>
    <n v="143"/>
    <n v="3202"/>
    <n v="0"/>
    <n v="0"/>
    <n v="0"/>
    <n v="7.77"/>
    <n v="0"/>
    <n v="1216"/>
    <n v="1"/>
    <n v="767"/>
    <n v="0"/>
    <n v="335"/>
    <n v="28"/>
    <n v="0"/>
  </r>
  <r>
    <n v="723"/>
    <m/>
    <s v="Christelle"/>
    <s v="Sea Vuna Fishing"/>
    <n v="2300514"/>
    <d v="2023-08-15T00:00:00"/>
    <x v="92"/>
    <n v="49"/>
    <n v="6"/>
    <n v="5123"/>
    <n v="8"/>
    <n v="6"/>
    <n v="7"/>
    <n v="0"/>
    <n v="0"/>
    <n v="0"/>
    <n v="0"/>
    <n v="644"/>
    <n v="0"/>
    <n v="0"/>
    <n v="0"/>
    <n v="966"/>
    <n v="98"/>
    <n v="2845"/>
    <n v="0"/>
    <n v="0"/>
    <n v="0"/>
    <n v="0"/>
    <n v="0"/>
    <n v="3536"/>
    <n v="1"/>
    <n v="118"/>
    <n v="0"/>
    <n v="8"/>
    <n v="1"/>
    <n v="0"/>
  </r>
  <r>
    <n v="726"/>
    <m/>
    <s v="Leeukop"/>
    <s v="Sea Vuna Fishing"/>
    <n v="2300647"/>
    <d v="2023-07-26T00:00:00"/>
    <x v="155"/>
    <n v="66"/>
    <n v="0"/>
    <n v="5799"/>
    <n v="73"/>
    <n v="16"/>
    <n v="7"/>
    <n v="0"/>
    <n v="0"/>
    <n v="0"/>
    <n v="0"/>
    <n v="28"/>
    <n v="0"/>
    <n v="3"/>
    <n v="3"/>
    <n v="462"/>
    <n v="0"/>
    <n v="4628"/>
    <n v="0"/>
    <n v="0"/>
    <n v="0"/>
    <n v="0"/>
    <n v="0"/>
    <n v="180"/>
    <n v="0"/>
    <n v="33"/>
    <n v="0"/>
    <n v="136"/>
    <n v="0"/>
    <n v="0"/>
  </r>
  <r>
    <n v="729"/>
    <m/>
    <s v="Leeukop"/>
    <s v="Sea Vuna Fishing"/>
    <n v="2300647"/>
    <d v="2023-07-31T00:00:00"/>
    <x v="156"/>
    <n v="93"/>
    <n v="26"/>
    <n v="9064"/>
    <n v="55"/>
    <n v="62"/>
    <n v="10"/>
    <n v="0"/>
    <n v="61"/>
    <n v="0"/>
    <n v="0"/>
    <n v="100"/>
    <n v="0"/>
    <n v="1"/>
    <n v="0"/>
    <n v="1240"/>
    <n v="12"/>
    <n v="7577"/>
    <n v="0"/>
    <n v="0"/>
    <n v="0"/>
    <n v="2.59"/>
    <n v="0"/>
    <n v="854"/>
    <n v="0"/>
    <n v="87"/>
    <n v="0"/>
    <n v="90"/>
    <n v="0"/>
    <n v="0"/>
  </r>
  <r>
    <n v="732"/>
    <m/>
    <s v="Leeukop"/>
    <s v="Sea Vuna Fishing"/>
    <n v="2300647"/>
    <d v="2023-08-08T00:00:00"/>
    <x v="154"/>
    <n v="7"/>
    <n v="131"/>
    <n v="6652"/>
    <n v="106"/>
    <n v="1054"/>
    <n v="3"/>
    <n v="5"/>
    <n v="41"/>
    <n v="0"/>
    <n v="0"/>
    <n v="720"/>
    <n v="0"/>
    <n v="0"/>
    <n v="0"/>
    <n v="616"/>
    <n v="417"/>
    <n v="3694"/>
    <n v="0"/>
    <n v="2.59"/>
    <n v="0"/>
    <n v="36.26"/>
    <n v="0"/>
    <n v="244"/>
    <n v="0"/>
    <n v="1295"/>
    <n v="0"/>
    <n v="1121"/>
    <n v="25"/>
    <n v="0"/>
  </r>
  <r>
    <n v="735"/>
    <m/>
    <s v="Vuna Imbongi"/>
    <s v="Sea Vuna Fishing"/>
    <n v="2300463"/>
    <d v="2023-08-01T00:00:00"/>
    <x v="157"/>
    <n v="0"/>
    <n v="725"/>
    <n v="393"/>
    <n v="68"/>
    <n v="9"/>
    <n v="0"/>
    <n v="0"/>
    <n v="0"/>
    <n v="0"/>
    <n v="0"/>
    <n v="1360"/>
    <n v="0"/>
    <n v="0"/>
    <n v="0"/>
    <n v="297"/>
    <n v="1634"/>
    <n v="696"/>
    <n v="0"/>
    <n v="2.59"/>
    <n v="0"/>
    <n v="56.98"/>
    <n v="0"/>
    <n v="1004"/>
    <n v="0"/>
    <n v="224"/>
    <n v="0"/>
    <n v="174"/>
    <n v="32"/>
    <n v="0"/>
  </r>
  <r>
    <n v="738"/>
    <m/>
    <s v="Vuna Imbongi"/>
    <s v="Sea Vuna Fishing"/>
    <n v="2300463"/>
    <d v="2023-08-09T00:00:00"/>
    <x v="158"/>
    <n v="2"/>
    <n v="484"/>
    <n v="1743"/>
    <n v="149"/>
    <n v="60"/>
    <n v="0"/>
    <n v="0"/>
    <n v="0"/>
    <n v="0"/>
    <n v="0"/>
    <n v="556"/>
    <n v="0"/>
    <n v="0"/>
    <n v="0"/>
    <n v="2229"/>
    <n v="804"/>
    <n v="3380"/>
    <n v="0"/>
    <n v="0"/>
    <n v="0"/>
    <n v="0"/>
    <n v="0"/>
    <n v="1216"/>
    <n v="0"/>
    <n v="381"/>
    <n v="0"/>
    <n v="254"/>
    <n v="16"/>
    <n v="0"/>
  </r>
  <r>
    <n v="741"/>
    <m/>
    <s v="Vuna Imbongi"/>
    <s v="Sea Vuna Fishing"/>
    <n v="2300463"/>
    <d v="2023-08-19T00:00:00"/>
    <x v="91"/>
    <n v="5"/>
    <n v="9"/>
    <n v="1555"/>
    <n v="2"/>
    <n v="0"/>
    <n v="0"/>
    <n v="0"/>
    <n v="0"/>
    <n v="0"/>
    <n v="0"/>
    <n v="244"/>
    <n v="0"/>
    <n v="0"/>
    <n v="0"/>
    <n v="223"/>
    <n v="51"/>
    <n v="109"/>
    <n v="0"/>
    <n v="0"/>
    <n v="0"/>
    <n v="0"/>
    <n v="0"/>
    <n v="1104"/>
    <n v="0"/>
    <n v="23"/>
    <n v="0"/>
    <n v="0"/>
    <n v="0"/>
    <n v="0"/>
  </r>
  <r>
    <n v="744"/>
    <m/>
    <s v="Amsteldiep"/>
    <s v="Sea Vuna Fishing"/>
    <n v="2300465"/>
    <d v="2023-07-27T00:00:00"/>
    <x v="159"/>
    <n v="16"/>
    <n v="0"/>
    <n v="7944"/>
    <n v="146"/>
    <n v="3"/>
    <n v="7"/>
    <n v="0"/>
    <n v="0"/>
    <n v="0"/>
    <n v="0"/>
    <n v="56"/>
    <n v="0"/>
    <n v="0"/>
    <n v="0"/>
    <n v="815"/>
    <n v="21"/>
    <n v="2314"/>
    <n v="0"/>
    <n v="0"/>
    <n v="0"/>
    <n v="0"/>
    <n v="0"/>
    <n v="968"/>
    <n v="0"/>
    <n v="46"/>
    <n v="0"/>
    <n v="17"/>
    <n v="0"/>
    <n v="0"/>
  </r>
  <r>
    <n v="747"/>
    <m/>
    <s v="Amsteldiep"/>
    <s v="Sea Vuna Fishing"/>
    <n v="2300465"/>
    <d v="2023-08-03T00:00:00"/>
    <x v="160"/>
    <n v="38"/>
    <n v="0"/>
    <n v="8069"/>
    <n v="64"/>
    <n v="53"/>
    <n v="716"/>
    <n v="0"/>
    <n v="0"/>
    <n v="0"/>
    <n v="0"/>
    <n v="396"/>
    <n v="0"/>
    <n v="0"/>
    <n v="0"/>
    <n v="1060"/>
    <n v="5"/>
    <n v="1001"/>
    <n v="0"/>
    <n v="0"/>
    <n v="0"/>
    <n v="0"/>
    <n v="0"/>
    <n v="1646"/>
    <n v="0"/>
    <n v="66"/>
    <n v="0"/>
    <n v="22"/>
    <n v="0"/>
    <n v="0"/>
  </r>
  <r>
    <n v="750"/>
    <m/>
    <s v="Amsteldiep"/>
    <s v="Sea Vuna Fishing"/>
    <n v="2300465"/>
    <d v="2023-08-15T00:00:00"/>
    <x v="91"/>
    <n v="47"/>
    <n v="0"/>
    <n v="5999"/>
    <n v="15"/>
    <n v="53"/>
    <n v="14"/>
    <n v="0"/>
    <n v="0"/>
    <n v="0"/>
    <n v="0"/>
    <n v="176"/>
    <n v="0"/>
    <n v="0"/>
    <n v="0"/>
    <n v="910"/>
    <n v="8"/>
    <n v="5907"/>
    <n v="0"/>
    <n v="0"/>
    <n v="0"/>
    <n v="0"/>
    <n v="0"/>
    <n v="486"/>
    <n v="0"/>
    <n v="140"/>
    <n v="0"/>
    <n v="296"/>
    <n v="0"/>
    <n v="0"/>
  </r>
  <r>
    <n v="753"/>
    <m/>
    <s v="Amsteldiep"/>
    <s v="Sea Vuna Fishing"/>
    <n v="2300465"/>
    <d v="2023-08-23T00:00:00"/>
    <x v="93"/>
    <n v="162"/>
    <n v="1"/>
    <n v="4640"/>
    <n v="163"/>
    <n v="325"/>
    <n v="0"/>
    <n v="0"/>
    <n v="0"/>
    <n v="0"/>
    <n v="0"/>
    <n v="776"/>
    <n v="0"/>
    <n v="0"/>
    <n v="0"/>
    <n v="746"/>
    <n v="171"/>
    <n v="8314"/>
    <n v="0"/>
    <n v="0"/>
    <n v="0"/>
    <n v="0"/>
    <n v="0"/>
    <n v="962"/>
    <n v="0"/>
    <n v="385"/>
    <n v="0"/>
    <n v="62"/>
    <n v="202"/>
    <n v="0"/>
  </r>
  <r>
    <n v="756"/>
    <m/>
    <s v="Vuna Liesa"/>
    <s v="Sea Vuna Fishing"/>
    <n v="2300462"/>
    <d v="2023-08-02T00:00:00"/>
    <x v="160"/>
    <n v="0"/>
    <n v="39"/>
    <n v="603"/>
    <n v="29"/>
    <n v="19"/>
    <n v="0"/>
    <n v="0"/>
    <n v="0"/>
    <n v="0"/>
    <n v="0"/>
    <n v="1200"/>
    <n v="0"/>
    <n v="0"/>
    <n v="0"/>
    <n v="304"/>
    <n v="899"/>
    <n v="1154"/>
    <n v="0"/>
    <n v="23.31"/>
    <n v="0"/>
    <n v="448.07"/>
    <n v="0"/>
    <n v="848"/>
    <n v="2"/>
    <n v="213"/>
    <n v="0"/>
    <n v="254"/>
    <n v="52"/>
    <n v="0"/>
  </r>
  <r>
    <n v="759"/>
    <m/>
    <s v="Vuna Liesa"/>
    <s v="Sea Vuna Fishing"/>
    <n v="2300462"/>
    <d v="2023-08-10T00:00:00"/>
    <x v="158"/>
    <n v="0"/>
    <n v="35"/>
    <n v="764"/>
    <n v="17"/>
    <n v="2"/>
    <n v="0"/>
    <n v="0"/>
    <n v="0"/>
    <n v="0"/>
    <n v="0"/>
    <n v="1304"/>
    <n v="0"/>
    <n v="0"/>
    <n v="0"/>
    <n v="118"/>
    <n v="435"/>
    <n v="723"/>
    <n v="0"/>
    <n v="12.95"/>
    <n v="0"/>
    <n v="225.32999999999998"/>
    <n v="0"/>
    <n v="706"/>
    <n v="0"/>
    <n v="97"/>
    <n v="0"/>
    <n v="107"/>
    <n v="17"/>
    <n v="0"/>
  </r>
  <r>
    <n v="762"/>
    <m/>
    <s v="Vuna Liesa"/>
    <s v="Sea Vuna Fishing"/>
    <n v="2300462"/>
    <d v="2023-08-19T00:00:00"/>
    <x v="92"/>
    <n v="8"/>
    <n v="7"/>
    <n v="533"/>
    <n v="0"/>
    <n v="0"/>
    <n v="0"/>
    <n v="0"/>
    <n v="0"/>
    <n v="0"/>
    <n v="0"/>
    <n v="124"/>
    <n v="0"/>
    <n v="0"/>
    <n v="0"/>
    <n v="147"/>
    <n v="48"/>
    <n v="12"/>
    <n v="0"/>
    <n v="15.54"/>
    <n v="0"/>
    <n v="300.44"/>
    <n v="0"/>
    <n v="466"/>
    <n v="0"/>
    <n v="2"/>
    <n v="0"/>
    <n v="0"/>
    <n v="0"/>
    <n v="0"/>
  </r>
  <r>
    <n v="765"/>
    <m/>
    <s v="Vuna Liesa"/>
    <s v="Sea Vuna Fishing"/>
    <n v="2300462"/>
    <d v="2023-08-27T00:00:00"/>
    <x v="161"/>
    <n v="1"/>
    <n v="3"/>
    <n v="70"/>
    <n v="0"/>
    <n v="0"/>
    <n v="0"/>
    <n v="0"/>
    <n v="0"/>
    <n v="0"/>
    <n v="0"/>
    <n v="324"/>
    <n v="0"/>
    <n v="0"/>
    <n v="0"/>
    <n v="28"/>
    <n v="83"/>
    <n v="21"/>
    <n v="0"/>
    <n v="5.18"/>
    <n v="0"/>
    <n v="116.55"/>
    <n v="0"/>
    <n v="204"/>
    <n v="0"/>
    <n v="6"/>
    <n v="0"/>
    <n v="7"/>
    <n v="5"/>
    <n v="0"/>
  </r>
  <r>
    <n v="768"/>
    <m/>
    <s v="Lindiwe"/>
    <s v="Sea Vuna Fishing"/>
    <n v="2300464"/>
    <d v="2023-08-01T00:00:00"/>
    <x v="156"/>
    <n v="41"/>
    <n v="2"/>
    <n v="7792"/>
    <n v="23"/>
    <n v="42"/>
    <n v="14"/>
    <n v="0"/>
    <n v="11"/>
    <n v="0"/>
    <n v="0"/>
    <n v="428"/>
    <n v="0"/>
    <n v="0"/>
    <n v="0"/>
    <n v="780"/>
    <n v="1"/>
    <n v="3649"/>
    <n v="0"/>
    <n v="0"/>
    <n v="0"/>
    <n v="0"/>
    <n v="0"/>
    <n v="382"/>
    <n v="4"/>
    <n v="59"/>
    <n v="0"/>
    <n v="60"/>
    <n v="0"/>
    <n v="0"/>
  </r>
  <r>
    <n v="771"/>
    <m/>
    <s v="Lindiwe"/>
    <s v="Sea Vuna Fishing"/>
    <n v="2300464"/>
    <d v="2023-08-08T00:00:00"/>
    <x v="154"/>
    <n v="6"/>
    <n v="55"/>
    <n v="4517"/>
    <n v="55"/>
    <n v="216"/>
    <n v="3"/>
    <n v="0"/>
    <n v="68"/>
    <n v="0"/>
    <n v="0"/>
    <n v="932"/>
    <n v="0"/>
    <n v="0"/>
    <n v="0"/>
    <n v="647"/>
    <n v="405"/>
    <n v="2826"/>
    <n v="0"/>
    <n v="7.77"/>
    <n v="0"/>
    <n v="147.63"/>
    <n v="0"/>
    <n v="386"/>
    <n v="0"/>
    <n v="1000"/>
    <n v="0"/>
    <n v="495"/>
    <n v="38"/>
    <n v="0"/>
  </r>
  <r>
    <n v="774"/>
    <m/>
    <s v="Lindiwe"/>
    <s v="Sea Vuna Fishing"/>
    <n v="2300464"/>
    <d v="2023-08-15T00:00:00"/>
    <x v="162"/>
    <n v="2"/>
    <n v="0"/>
    <n v="520"/>
    <n v="0"/>
    <n v="0"/>
    <n v="0"/>
    <n v="0"/>
    <n v="0"/>
    <n v="0"/>
    <n v="0"/>
    <n v="176"/>
    <n v="0"/>
    <n v="0"/>
    <n v="0"/>
    <n v="106"/>
    <n v="15"/>
    <n v="326"/>
    <n v="0"/>
    <n v="0"/>
    <n v="0"/>
    <n v="20.72"/>
    <n v="0"/>
    <n v="392"/>
    <n v="0"/>
    <n v="20"/>
    <n v="0"/>
    <n v="32"/>
    <n v="0"/>
    <n v="0"/>
  </r>
  <r>
    <n v="777"/>
    <m/>
    <s v="Lindiwe"/>
    <s v="Sea Vuna Fishing"/>
    <n v="2300464"/>
    <d v="2023-08-18T00:00:00"/>
    <x v="92"/>
    <n v="0"/>
    <n v="17"/>
    <n v="149"/>
    <n v="2"/>
    <n v="0"/>
    <n v="0"/>
    <n v="0"/>
    <n v="0"/>
    <n v="0"/>
    <n v="0"/>
    <n v="164"/>
    <n v="0"/>
    <n v="0"/>
    <n v="0"/>
    <n v="140"/>
    <n v="98"/>
    <n v="325"/>
    <n v="0"/>
    <n v="0"/>
    <n v="0"/>
    <n v="7.77"/>
    <n v="0"/>
    <n v="202"/>
    <n v="0"/>
    <n v="121"/>
    <n v="0"/>
    <n v="58"/>
    <n v="1"/>
    <n v="0"/>
  </r>
  <r>
    <n v="780"/>
    <m/>
    <s v="Leonora"/>
    <s v="Sea Vuna Fishing"/>
    <n v="2300585"/>
    <d v="2023-08-01T00:00:00"/>
    <x v="157"/>
    <n v="48"/>
    <n v="0"/>
    <n v="3634"/>
    <n v="27"/>
    <n v="49"/>
    <n v="7"/>
    <n v="0"/>
    <n v="4"/>
    <n v="0"/>
    <n v="0"/>
    <n v="104"/>
    <n v="0"/>
    <n v="0"/>
    <n v="0"/>
    <n v="336"/>
    <n v="159"/>
    <n v="3734"/>
    <n v="0"/>
    <n v="5.18"/>
    <n v="0"/>
    <n v="103.6"/>
    <n v="0"/>
    <n v="468"/>
    <n v="0"/>
    <n v="243"/>
    <n v="0"/>
    <n v="125"/>
    <n v="5"/>
    <n v="0"/>
  </r>
  <r>
    <n v="783"/>
    <m/>
    <s v="Leonora"/>
    <s v="Sea Vuna Fishing"/>
    <n v="2300585"/>
    <d v="2023-08-10T00:00:00"/>
    <x v="162"/>
    <n v="14"/>
    <n v="67"/>
    <n v="2797"/>
    <n v="43"/>
    <n v="152"/>
    <n v="0"/>
    <n v="0"/>
    <n v="21"/>
    <n v="0"/>
    <n v="0"/>
    <n v="408"/>
    <n v="0"/>
    <n v="0"/>
    <n v="0"/>
    <n v="280"/>
    <n v="489"/>
    <n v="1684"/>
    <n v="0"/>
    <n v="0"/>
    <n v="0"/>
    <n v="7.77"/>
    <n v="0"/>
    <n v="296"/>
    <n v="0"/>
    <n v="410"/>
    <n v="0"/>
    <n v="295"/>
    <n v="16"/>
    <n v="0"/>
  </r>
  <r>
    <n v="786"/>
    <m/>
    <s v="Vuna Elita"/>
    <s v="Sea Vuna Fishing"/>
    <n v="2300598"/>
    <d v="2023-10-25T00:00:00"/>
    <x v="163"/>
    <n v="379"/>
    <n v="15"/>
    <n v="17288"/>
    <n v="21"/>
    <n v="5062"/>
    <n v="1232"/>
    <n v="2572"/>
    <n v="422"/>
    <n v="0"/>
    <n v="0"/>
    <n v="0"/>
    <n v="0"/>
    <n v="0"/>
    <n v="0"/>
    <n v="1109"/>
    <n v="5"/>
    <n v="6754"/>
    <n v="0"/>
    <n v="0"/>
    <n v="0"/>
    <n v="0"/>
    <n v="0"/>
    <n v="660"/>
    <n v="15"/>
    <n v="889"/>
    <n v="0"/>
    <n v="57"/>
    <n v="0"/>
    <n v="0"/>
  </r>
  <r>
    <n v="789"/>
    <m/>
    <s v="Vuna Elita"/>
    <s v="Sea Vuna Fishing"/>
    <n v="2300598"/>
    <d v="2023-11-01T00:00:00"/>
    <x v="164"/>
    <n v="346"/>
    <n v="36"/>
    <n v="16310"/>
    <n v="111"/>
    <n v="5705"/>
    <n v="1827"/>
    <n v="360"/>
    <n v="124"/>
    <n v="0"/>
    <n v="0"/>
    <n v="1608"/>
    <n v="0"/>
    <n v="0"/>
    <n v="0"/>
    <n v="861"/>
    <n v="0"/>
    <n v="6722"/>
    <n v="0"/>
    <n v="0"/>
    <n v="0"/>
    <n v="0"/>
    <n v="0"/>
    <n v="672"/>
    <n v="87"/>
    <n v="365"/>
    <n v="0"/>
    <n v="36"/>
    <n v="0"/>
    <n v="0"/>
  </r>
  <r>
    <n v="792"/>
    <m/>
    <s v="Vuna Elita"/>
    <s v="Sea Vuna Fishing"/>
    <n v="2300598"/>
    <d v="2023-11-08T00:00:00"/>
    <x v="165"/>
    <n v="1437"/>
    <n v="12"/>
    <n v="20961"/>
    <n v="123"/>
    <n v="4985"/>
    <n v="1383"/>
    <n v="209"/>
    <n v="702"/>
    <n v="0"/>
    <n v="0"/>
    <n v="0"/>
    <n v="0"/>
    <n v="0"/>
    <n v="0"/>
    <n v="1151"/>
    <n v="0"/>
    <n v="9396"/>
    <n v="0"/>
    <n v="0"/>
    <n v="0"/>
    <n v="0"/>
    <n v="0"/>
    <n v="634"/>
    <n v="0"/>
    <n v="183"/>
    <n v="0"/>
    <n v="9"/>
    <n v="0"/>
    <n v="0"/>
  </r>
  <r>
    <n v="795"/>
    <m/>
    <s v="Vuna Elita"/>
    <s v="Sea Vuna Fishing"/>
    <n v="2300598"/>
    <d v="2023-11-16T00:00:00"/>
    <x v="103"/>
    <n v="542"/>
    <n v="0"/>
    <n v="27769"/>
    <n v="114"/>
    <n v="943"/>
    <n v="1558"/>
    <n v="673"/>
    <n v="102"/>
    <n v="0"/>
    <n v="0"/>
    <n v="160"/>
    <n v="0"/>
    <n v="0"/>
    <n v="186"/>
    <n v="757"/>
    <n v="0"/>
    <n v="964"/>
    <n v="0"/>
    <n v="0"/>
    <n v="0"/>
    <n v="0"/>
    <n v="0"/>
    <n v="762"/>
    <n v="106"/>
    <n v="12"/>
    <n v="0"/>
    <n v="0"/>
    <n v="0"/>
    <n v="0"/>
  </r>
  <r>
    <n v="798"/>
    <m/>
    <s v="Vuna Elita"/>
    <s v="Sea Vuna Fishing"/>
    <n v="2300598"/>
    <d v="2023-11-24T00:00:00"/>
    <x v="105"/>
    <n v="483"/>
    <n v="0"/>
    <n v="53740"/>
    <n v="2738"/>
    <n v="16"/>
    <n v="334"/>
    <n v="0"/>
    <n v="0"/>
    <n v="0"/>
    <n v="0"/>
    <n v="0"/>
    <n v="0"/>
    <n v="0"/>
    <n v="0"/>
    <n v="231"/>
    <n v="0"/>
    <n v="2481"/>
    <n v="0"/>
    <n v="0"/>
    <n v="0"/>
    <n v="0"/>
    <n v="0"/>
    <n v="392"/>
    <n v="27"/>
    <n v="193"/>
    <n v="0"/>
    <n v="12"/>
    <n v="0"/>
    <n v="0"/>
  </r>
  <r>
    <n v="801"/>
    <m/>
    <s v="Vuna Imbongi"/>
    <s v="Sea Vuna Fishing"/>
    <n v="2300463"/>
    <d v="2023-11-27T00:00:00"/>
    <x v="166"/>
    <n v="7"/>
    <n v="238"/>
    <n v="361"/>
    <n v="0"/>
    <n v="1"/>
    <n v="0"/>
    <n v="0"/>
    <n v="0"/>
    <n v="0"/>
    <n v="0"/>
    <n v="76"/>
    <n v="0"/>
    <n v="0"/>
    <n v="0"/>
    <n v="731"/>
    <n v="94"/>
    <n v="58"/>
    <n v="0"/>
    <n v="2.59"/>
    <n v="0"/>
    <n v="62.16"/>
    <n v="0"/>
    <n v="1990"/>
    <n v="0"/>
    <n v="38"/>
    <n v="0"/>
    <n v="143"/>
    <n v="8"/>
    <n v="0"/>
  </r>
  <r>
    <n v="804"/>
    <m/>
    <s v="Vuna Imbongi"/>
    <s v="Sea Vuna Fishing"/>
    <n v="2300463"/>
    <d v="2023-12-04T00:00:00"/>
    <x v="167"/>
    <n v="32"/>
    <n v="447"/>
    <n v="748"/>
    <n v="17"/>
    <n v="5"/>
    <n v="0"/>
    <n v="0"/>
    <n v="0"/>
    <n v="0"/>
    <n v="0"/>
    <n v="104"/>
    <n v="0"/>
    <n v="0"/>
    <n v="0"/>
    <n v="927"/>
    <n v="294"/>
    <n v="393"/>
    <n v="0"/>
    <n v="0"/>
    <n v="0"/>
    <n v="20.72"/>
    <n v="0"/>
    <n v="1488"/>
    <n v="0"/>
    <n v="767"/>
    <n v="0"/>
    <n v="714"/>
    <n v="24"/>
    <n v="0"/>
  </r>
  <r>
    <n v="822"/>
    <m/>
    <s v="Vuna Elita"/>
    <s v="Sea Vuna Fishing"/>
    <n v="2300598"/>
    <d v="2023-12-01T00:00:00"/>
    <x v="168"/>
    <n v="177"/>
    <n v="28"/>
    <n v="34730"/>
    <n v="4560"/>
    <n v="278"/>
    <n v="956"/>
    <n v="463"/>
    <n v="0"/>
    <n v="0"/>
    <n v="0"/>
    <n v="0"/>
    <n v="0"/>
    <n v="0"/>
    <n v="0"/>
    <n v="294"/>
    <n v="0"/>
    <n v="1402"/>
    <n v="0"/>
    <n v="0"/>
    <n v="0"/>
    <n v="0"/>
    <n v="0"/>
    <n v="354"/>
    <n v="7"/>
    <n v="321"/>
    <n v="0"/>
    <n v="41"/>
    <n v="0"/>
    <n v="0"/>
  </r>
  <r>
    <n v="825"/>
    <m/>
    <s v="Vuna Elita"/>
    <s v="Sea Vuna Fishing"/>
    <n v="2300598"/>
    <d v="2023-12-07T00:00:00"/>
    <x v="169"/>
    <n v="651"/>
    <n v="0"/>
    <n v="37196"/>
    <n v="43"/>
    <n v="193"/>
    <n v="526"/>
    <n v="4"/>
    <n v="6"/>
    <n v="0"/>
    <n v="0"/>
    <n v="0"/>
    <n v="0"/>
    <n v="0"/>
    <n v="0"/>
    <n v="1102"/>
    <n v="0"/>
    <n v="7287"/>
    <n v="0"/>
    <n v="0"/>
    <n v="0"/>
    <n v="0"/>
    <n v="0"/>
    <n v="800"/>
    <n v="5"/>
    <n v="1500"/>
    <n v="0"/>
    <n v="22"/>
    <n v="0"/>
    <n v="0"/>
  </r>
  <r>
    <n v="828"/>
    <m/>
    <s v="Vuna Elita"/>
    <s v="Sea Vuna Fishing"/>
    <n v="2300598"/>
    <d v="2023-12-13T00:00:00"/>
    <x v="124"/>
    <n v="1090"/>
    <n v="4"/>
    <n v="24456"/>
    <n v="138"/>
    <n v="10411"/>
    <n v="970"/>
    <n v="288"/>
    <n v="403"/>
    <n v="0"/>
    <n v="0"/>
    <n v="8"/>
    <n v="0"/>
    <n v="0"/>
    <n v="0"/>
    <n v="1086"/>
    <n v="0"/>
    <n v="4279"/>
    <n v="0"/>
    <n v="0"/>
    <n v="0"/>
    <n v="0"/>
    <n v="0"/>
    <n v="204"/>
    <n v="10"/>
    <n v="797"/>
    <n v="0"/>
    <n v="114"/>
    <n v="0"/>
    <n v="0"/>
  </r>
  <r>
    <n v="831"/>
    <m/>
    <s v="Vuna Elita"/>
    <s v="Sea Vuna Fishing"/>
    <n v="2300598"/>
    <d v="2023-12-21T00:00:00"/>
    <x v="170"/>
    <n v="581"/>
    <n v="5"/>
    <n v="32922"/>
    <n v="50"/>
    <n v="6268"/>
    <n v="753"/>
    <n v="614"/>
    <n v="190"/>
    <n v="0"/>
    <n v="0"/>
    <n v="104"/>
    <n v="0"/>
    <n v="0"/>
    <n v="0"/>
    <n v="137"/>
    <n v="5"/>
    <n v="1724"/>
    <n v="0"/>
    <n v="0"/>
    <n v="0"/>
    <n v="0"/>
    <n v="0"/>
    <n v="384"/>
    <n v="74"/>
    <n v="305"/>
    <n v="0"/>
    <n v="44"/>
    <n v="6"/>
    <n v="0"/>
  </r>
  <r>
    <n v="834"/>
    <m/>
    <s v="Leeukop"/>
    <s v="Sea Vuna Fishing"/>
    <n v="2300647"/>
    <d v="2023-11-29T00:00:00"/>
    <x v="171"/>
    <n v="197"/>
    <n v="23"/>
    <n v="6618"/>
    <n v="6"/>
    <n v="407"/>
    <n v="83"/>
    <n v="0"/>
    <n v="4"/>
    <n v="0"/>
    <n v="0"/>
    <n v="244"/>
    <n v="0"/>
    <n v="0"/>
    <n v="0"/>
    <n v="3171"/>
    <n v="371"/>
    <n v="2659"/>
    <n v="0"/>
    <n v="0"/>
    <n v="0"/>
    <n v="0"/>
    <n v="0"/>
    <n v="1810"/>
    <n v="3"/>
    <n v="333"/>
    <n v="0"/>
    <n v="308"/>
    <n v="3"/>
    <n v="0"/>
  </r>
  <r>
    <n v="837"/>
    <m/>
    <s v="Leeukop"/>
    <s v="Sea Vuna Fishing"/>
    <n v="2300647"/>
    <d v="2023-12-07T00:00:00"/>
    <x v="169"/>
    <n v="632"/>
    <n v="0"/>
    <n v="14673"/>
    <n v="9"/>
    <n v="61"/>
    <n v="251"/>
    <n v="25"/>
    <n v="0"/>
    <n v="0"/>
    <n v="0"/>
    <n v="236"/>
    <n v="0"/>
    <n v="0"/>
    <n v="0"/>
    <n v="533"/>
    <n v="0"/>
    <n v="2578"/>
    <n v="0"/>
    <n v="0"/>
    <n v="0"/>
    <n v="0"/>
    <n v="0"/>
    <n v="114"/>
    <n v="11"/>
    <n v="423"/>
    <n v="0"/>
    <n v="1"/>
    <n v="0"/>
    <n v="0"/>
  </r>
  <r>
    <n v="840"/>
    <m/>
    <s v="Leeukop"/>
    <s v="Sea Vuna Fishing"/>
    <n v="2300647"/>
    <d v="2023-12-14T00:00:00"/>
    <x v="172"/>
    <n v="294"/>
    <n v="11"/>
    <n v="13677"/>
    <n v="24"/>
    <n v="5039"/>
    <n v="316"/>
    <n v="121"/>
    <n v="118"/>
    <n v="0"/>
    <n v="0"/>
    <n v="972"/>
    <n v="0"/>
    <n v="0"/>
    <n v="0"/>
    <n v="693"/>
    <n v="0"/>
    <n v="1825"/>
    <n v="0"/>
    <n v="0"/>
    <n v="0"/>
    <n v="7.77"/>
    <n v="0"/>
    <n v="58"/>
    <n v="0"/>
    <n v="382"/>
    <n v="0"/>
    <n v="130"/>
    <n v="0"/>
    <n v="0"/>
  </r>
  <r>
    <n v="842"/>
    <m/>
    <s v="Christelle"/>
    <s v="Sea Vuna Fishing"/>
    <n v="2300514"/>
    <d v="2023-11-28T00:00:00"/>
    <x v="171"/>
    <n v="50"/>
    <n v="32"/>
    <n v="3120"/>
    <n v="2"/>
    <n v="186"/>
    <n v="10"/>
    <n v="0"/>
    <n v="3"/>
    <n v="0"/>
    <n v="0"/>
    <n v="192"/>
    <n v="0"/>
    <n v="0"/>
    <n v="0"/>
    <n v="994"/>
    <n v="719"/>
    <n v="278"/>
    <n v="0"/>
    <n v="2.59"/>
    <n v="0"/>
    <n v="23.31"/>
    <n v="0"/>
    <n v="1050"/>
    <n v="0"/>
    <n v="155"/>
    <n v="0"/>
    <n v="567"/>
    <n v="3"/>
    <n v="0"/>
  </r>
  <r>
    <n v="845"/>
    <m/>
    <s v="Christelle"/>
    <s v="Sea Vuna Fishing"/>
    <n v="2300514"/>
    <d v="2023-12-07T00:00:00"/>
    <x v="123"/>
    <n v="184"/>
    <n v="23"/>
    <n v="6919"/>
    <n v="137"/>
    <n v="511"/>
    <n v="110"/>
    <n v="3"/>
    <n v="0"/>
    <n v="0"/>
    <n v="0"/>
    <n v="112"/>
    <n v="0"/>
    <n v="0"/>
    <n v="0"/>
    <n v="274"/>
    <n v="20"/>
    <n v="3316"/>
    <n v="0"/>
    <n v="0"/>
    <n v="0"/>
    <n v="5.18"/>
    <n v="0"/>
    <n v="142"/>
    <n v="0"/>
    <n v="269"/>
    <n v="0"/>
    <n v="322"/>
    <n v="31"/>
    <n v="0"/>
  </r>
  <r>
    <n v="848"/>
    <m/>
    <s v="Christelle"/>
    <s v="Sea Vuna Fishing"/>
    <n v="2300514"/>
    <d v="2023-12-14T00:00:00"/>
    <x v="126"/>
    <n v="128"/>
    <n v="32"/>
    <n v="10887"/>
    <n v="24"/>
    <n v="1565"/>
    <n v="327"/>
    <n v="5"/>
    <n v="247"/>
    <n v="0"/>
    <n v="0"/>
    <n v="1752"/>
    <n v="0"/>
    <n v="0"/>
    <n v="0"/>
    <n v="1246"/>
    <n v="206"/>
    <n v="910"/>
    <n v="0"/>
    <n v="0"/>
    <n v="0"/>
    <n v="0"/>
    <n v="0"/>
    <n v="140"/>
    <n v="0"/>
    <n v="138"/>
    <n v="0"/>
    <n v="140"/>
    <n v="0"/>
    <n v="0"/>
  </r>
  <r>
    <n v="851"/>
    <m/>
    <s v="Leonora"/>
    <s v="Sea Vuna Fishing"/>
    <n v="2300585"/>
    <d v="2023-11-29T00:00:00"/>
    <x v="166"/>
    <n v="45"/>
    <n v="61"/>
    <n v="1016"/>
    <n v="0"/>
    <n v="6"/>
    <n v="0"/>
    <n v="0"/>
    <n v="0"/>
    <n v="0"/>
    <n v="0"/>
    <n v="128"/>
    <n v="0"/>
    <n v="0"/>
    <n v="0"/>
    <n v="1620"/>
    <n v="259"/>
    <n v="753"/>
    <n v="0"/>
    <n v="5.18"/>
    <n v="0"/>
    <n v="93.24"/>
    <n v="0"/>
    <n v="1778"/>
    <n v="0"/>
    <n v="272"/>
    <n v="0"/>
    <n v="227"/>
    <n v="6"/>
    <n v="0"/>
  </r>
  <r>
    <n v="854"/>
    <m/>
    <s v="Leonora"/>
    <s v="Sea Vuna Fishing"/>
    <n v="2300585"/>
    <d v="2023-12-04T00:00:00"/>
    <x v="167"/>
    <n v="124"/>
    <n v="678"/>
    <n v="1935"/>
    <n v="14"/>
    <n v="24"/>
    <n v="0"/>
    <n v="0"/>
    <n v="0"/>
    <n v="0"/>
    <n v="0"/>
    <n v="324"/>
    <n v="0"/>
    <n v="0"/>
    <n v="0"/>
    <n v="2428"/>
    <n v="1140"/>
    <n v="1242"/>
    <n v="0"/>
    <n v="12.95"/>
    <n v="0"/>
    <n v="235.69"/>
    <n v="0"/>
    <n v="1682"/>
    <n v="0"/>
    <n v="919"/>
    <n v="0"/>
    <n v="905"/>
    <n v="58"/>
    <n v="0"/>
  </r>
  <r>
    <n v="857"/>
    <m/>
    <s v="Leonora"/>
    <s v="Sea Vuna Fishing"/>
    <n v="2300585"/>
    <d v="2023-12-12T00:00:00"/>
    <x v="120"/>
    <n v="95"/>
    <n v="213"/>
    <n v="3517"/>
    <n v="12"/>
    <n v="58"/>
    <n v="10"/>
    <n v="0"/>
    <n v="0"/>
    <n v="0"/>
    <n v="0"/>
    <n v="240"/>
    <n v="0"/>
    <n v="0"/>
    <n v="0"/>
    <n v="512"/>
    <n v="542"/>
    <n v="635"/>
    <n v="0"/>
    <n v="0"/>
    <n v="0"/>
    <n v="18.13"/>
    <n v="0"/>
    <n v="1348"/>
    <n v="1"/>
    <n v="851"/>
    <n v="0"/>
    <n v="316"/>
    <n v="21"/>
    <n v="0"/>
  </r>
  <r>
    <n v="861"/>
    <m/>
    <s v="Vuna Liesa"/>
    <s v="Sea Vuna Fishing"/>
    <n v="2300462"/>
    <d v="2023-11-24T00:00:00"/>
    <x v="173"/>
    <n v="4"/>
    <n v="23"/>
    <n v="464"/>
    <n v="6"/>
    <n v="16"/>
    <n v="0"/>
    <n v="0"/>
    <n v="0"/>
    <n v="0"/>
    <n v="0"/>
    <n v="164"/>
    <n v="0"/>
    <n v="0"/>
    <n v="0"/>
    <n v="746"/>
    <n v="422"/>
    <n v="371"/>
    <n v="0"/>
    <n v="2.59"/>
    <n v="0"/>
    <n v="51.8"/>
    <n v="0"/>
    <n v="498"/>
    <n v="0"/>
    <n v="291"/>
    <n v="0"/>
    <n v="510"/>
    <n v="9"/>
    <n v="0"/>
  </r>
  <r>
    <n v="864"/>
    <m/>
    <s v="Vuna Liesa"/>
    <s v="Sea Vuna Fishing"/>
    <n v="2300462"/>
    <d v="2023-12-12T00:00:00"/>
    <x v="120"/>
    <n v="1"/>
    <n v="129"/>
    <n v="787"/>
    <n v="12"/>
    <n v="53"/>
    <n v="0"/>
    <n v="0"/>
    <n v="0"/>
    <n v="0"/>
    <n v="0"/>
    <n v="332"/>
    <n v="0"/>
    <n v="0"/>
    <n v="0"/>
    <n v="651"/>
    <n v="189"/>
    <n v="484"/>
    <n v="0"/>
    <n v="5.18"/>
    <n v="0"/>
    <n v="108.78"/>
    <n v="0"/>
    <n v="2244"/>
    <n v="0"/>
    <n v="150"/>
    <n v="0"/>
    <n v="525"/>
    <n v="17"/>
    <n v="0"/>
  </r>
  <r>
    <n v="867"/>
    <m/>
    <s v="Lindiwe"/>
    <s v="Sea Vuna Fishing"/>
    <n v="2300464"/>
    <d v="2023-11-28T00:00:00"/>
    <x v="166"/>
    <n v="21"/>
    <n v="49"/>
    <n v="602"/>
    <n v="2"/>
    <n v="2"/>
    <n v="0"/>
    <n v="0"/>
    <n v="0"/>
    <n v="0"/>
    <n v="0"/>
    <n v="188"/>
    <n v="0"/>
    <n v="0"/>
    <n v="0"/>
    <n v="1460"/>
    <n v="147"/>
    <n v="56"/>
    <n v="0"/>
    <n v="5.18"/>
    <n v="0"/>
    <n v="108.78"/>
    <n v="0"/>
    <n v="4834"/>
    <n v="0"/>
    <n v="21"/>
    <n v="0"/>
    <n v="112"/>
    <n v="8"/>
    <n v="0"/>
  </r>
  <r>
    <n v="870"/>
    <m/>
    <s v="Lindiwe"/>
    <s v="Sea Vuna Fishing"/>
    <n v="2300464"/>
    <d v="2023-12-05T00:00:00"/>
    <x v="167"/>
    <n v="111"/>
    <n v="67"/>
    <n v="1661"/>
    <n v="6"/>
    <n v="50"/>
    <n v="0"/>
    <n v="0"/>
    <n v="0"/>
    <n v="0"/>
    <n v="0"/>
    <n v="152"/>
    <n v="0"/>
    <n v="0"/>
    <n v="0"/>
    <n v="2288"/>
    <n v="422"/>
    <n v="1012"/>
    <n v="0"/>
    <n v="2.59"/>
    <n v="0"/>
    <n v="38.849999999999994"/>
    <n v="0"/>
    <n v="1406"/>
    <n v="0"/>
    <n v="513"/>
    <n v="0"/>
    <n v="432"/>
    <n v="19"/>
    <n v="0"/>
  </r>
  <r>
    <n v="873"/>
    <m/>
    <s v="Lindiwe"/>
    <s v="Sea Vuna Fishing"/>
    <n v="2300464"/>
    <d v="2023-12-12T00:00:00"/>
    <x v="120"/>
    <n v="60"/>
    <n v="23"/>
    <n v="651"/>
    <n v="9"/>
    <n v="2"/>
    <n v="0"/>
    <n v="0"/>
    <n v="0"/>
    <n v="0"/>
    <n v="0"/>
    <n v="92"/>
    <n v="0"/>
    <n v="0"/>
    <n v="0"/>
    <n v="123"/>
    <n v="5"/>
    <n v="355"/>
    <n v="0"/>
    <n v="2.59"/>
    <n v="0"/>
    <n v="41.44"/>
    <n v="0"/>
    <n v="310"/>
    <n v="3"/>
    <n v="31"/>
    <n v="0"/>
    <n v="20"/>
    <n v="2"/>
    <n v="0"/>
  </r>
  <r>
    <n v="876"/>
    <m/>
    <s v="Vuna Imbongi"/>
    <s v="Sea Vuna Fishing"/>
    <n v="2300463"/>
    <d v="2023-12-11T00:00:00"/>
    <x v="120"/>
    <n v="29"/>
    <n v="621"/>
    <n v="1529"/>
    <n v="36"/>
    <n v="130"/>
    <n v="3"/>
    <n v="0"/>
    <n v="0"/>
    <n v="0"/>
    <n v="0"/>
    <n v="192"/>
    <n v="0"/>
    <n v="0"/>
    <n v="0"/>
    <n v="1057"/>
    <n v="1007"/>
    <n v="1491"/>
    <n v="0"/>
    <n v="0"/>
    <n v="0"/>
    <n v="20.72"/>
    <n v="0"/>
    <n v="2030"/>
    <n v="0"/>
    <n v="531"/>
    <n v="0"/>
    <n v="765"/>
    <n v="46"/>
    <n v="0"/>
  </r>
  <r>
    <n v="879"/>
    <m/>
    <s v="Amsteldiep"/>
    <s v="Sea Vuna Fishing"/>
    <n v="2300465"/>
    <d v="2023-11-28T00:00:00"/>
    <x v="118"/>
    <n v="271"/>
    <n v="0"/>
    <n v="15657"/>
    <n v="17"/>
    <n v="0"/>
    <n v="299"/>
    <n v="0"/>
    <n v="0"/>
    <n v="0"/>
    <n v="0"/>
    <n v="40"/>
    <n v="0"/>
    <n v="0"/>
    <n v="0"/>
    <n v="694"/>
    <n v="0"/>
    <n v="2820"/>
    <n v="0"/>
    <n v="0"/>
    <n v="0"/>
    <n v="0"/>
    <n v="0"/>
    <n v="422"/>
    <n v="0"/>
    <n v="212"/>
    <n v="0"/>
    <n v="21"/>
    <n v="0"/>
    <n v="0"/>
  </r>
  <r>
    <n v="882"/>
    <m/>
    <s v="Amsteldiep"/>
    <s v="Sea Vuna Fishing"/>
    <n v="2300465"/>
    <d v="2023-12-05T00:00:00"/>
    <x v="119"/>
    <n v="367"/>
    <n v="0"/>
    <n v="16610"/>
    <n v="21"/>
    <n v="4"/>
    <n v="519"/>
    <n v="0"/>
    <n v="0"/>
    <n v="0"/>
    <n v="0"/>
    <n v="0"/>
    <n v="0"/>
    <n v="0"/>
    <n v="0"/>
    <n v="463"/>
    <n v="0"/>
    <n v="2396"/>
    <n v="0"/>
    <n v="0"/>
    <n v="0"/>
    <n v="0"/>
    <n v="0"/>
    <n v="270"/>
    <n v="2"/>
    <n v="430"/>
    <n v="0"/>
    <n v="0"/>
    <n v="0"/>
    <n v="0"/>
  </r>
  <r>
    <n v="885"/>
    <m/>
    <s v="Amsteldiep"/>
    <s v="Sea Vuna Fishing"/>
    <n v="2300465"/>
    <d v="2023-12-12T00:00:00"/>
    <x v="174"/>
    <n v="304"/>
    <n v="8"/>
    <n v="14547"/>
    <n v="35"/>
    <n v="1745"/>
    <n v="984"/>
    <n v="0"/>
    <n v="608"/>
    <n v="0"/>
    <n v="0"/>
    <n v="1488"/>
    <n v="0"/>
    <n v="0"/>
    <n v="0"/>
    <n v="1070"/>
    <n v="0"/>
    <n v="1660"/>
    <n v="0"/>
    <n v="0"/>
    <n v="0"/>
    <n v="0"/>
    <n v="0"/>
    <n v="112"/>
    <n v="0"/>
    <n v="608"/>
    <n v="0"/>
    <n v="32"/>
    <n v="0"/>
    <n v="0"/>
  </r>
  <r>
    <n v="888"/>
    <m/>
    <s v="Sisters"/>
    <s v="Sea Vuna Fishing"/>
    <n v="2400479"/>
    <d v="2024-01-29T00:00:00"/>
    <x v="175"/>
    <n v="664"/>
    <n v="77"/>
    <n v="14809"/>
    <n v="109"/>
    <n v="12186"/>
    <n v="334"/>
    <n v="151"/>
    <n v="55"/>
    <n v="25"/>
    <n v="0"/>
    <n v="2372"/>
    <n v="0"/>
    <n v="0"/>
    <n v="0"/>
    <n v="832"/>
    <n v="0"/>
    <n v="12198"/>
    <n v="0"/>
    <n v="0"/>
    <n v="0"/>
    <n v="0"/>
    <n v="0"/>
    <n v="532"/>
    <n v="0"/>
    <n v="276"/>
    <n v="1"/>
    <n v="383"/>
    <n v="0"/>
    <n v="0"/>
  </r>
  <r>
    <n v="890"/>
    <m/>
    <s v="Lady Imelda"/>
    <s v="Sea Vuna Fishing"/>
    <n v="2400479"/>
    <d v="2024-02-01T00:00:00"/>
    <x v="176"/>
    <n v="120"/>
    <n v="126"/>
    <n v="2504"/>
    <n v="6"/>
    <n v="90"/>
    <n v="0"/>
    <n v="0"/>
    <n v="0"/>
    <n v="0"/>
    <n v="0"/>
    <n v="128"/>
    <n v="0"/>
    <n v="0"/>
    <n v="0"/>
    <n v="732"/>
    <n v="89"/>
    <n v="293"/>
    <n v="0"/>
    <n v="0"/>
    <n v="0"/>
    <n v="0"/>
    <n v="0"/>
    <n v="412"/>
    <n v="0"/>
    <n v="288"/>
    <n v="0"/>
    <n v="442"/>
    <n v="0"/>
    <n v="0"/>
  </r>
  <r>
    <n v="892"/>
    <m/>
    <s v="Sisters"/>
    <s v="Sea Vuna Fishing"/>
    <n v="2400479"/>
    <d v="2024-02-17T00:00:00"/>
    <x v="177"/>
    <n v="411"/>
    <n v="8"/>
    <n v="10370"/>
    <n v="55"/>
    <n v="4771"/>
    <n v="279"/>
    <n v="4"/>
    <n v="0"/>
    <n v="208"/>
    <n v="0"/>
    <n v="1376"/>
    <n v="0"/>
    <n v="522"/>
    <n v="0"/>
    <n v="319"/>
    <n v="0"/>
    <n v="1124"/>
    <n v="0"/>
    <n v="0"/>
    <n v="0"/>
    <n v="0"/>
    <n v="0"/>
    <n v="90"/>
    <n v="0"/>
    <n v="5"/>
    <n v="0"/>
    <n v="26"/>
    <n v="0"/>
    <n v="0"/>
  </r>
  <r>
    <n v="894"/>
    <m/>
    <s v="Sisters"/>
    <s v="Sea Vuna Fishing"/>
    <n v="2400479"/>
    <d v="2024-02-09T00:00:00"/>
    <x v="178"/>
    <n v="351"/>
    <n v="2"/>
    <n v="21760"/>
    <n v="73"/>
    <n v="15175"/>
    <n v="750"/>
    <n v="707"/>
    <n v="76"/>
    <n v="192"/>
    <n v="0"/>
    <n v="1232"/>
    <n v="0"/>
    <n v="0"/>
    <n v="0"/>
    <n v="266"/>
    <n v="0"/>
    <n v="2575"/>
    <n v="0"/>
    <n v="0"/>
    <n v="0"/>
    <n v="0"/>
    <n v="0"/>
    <n v="120"/>
    <n v="8"/>
    <n v="12"/>
    <n v="0"/>
    <n v="34"/>
    <n v="0"/>
    <n v="0"/>
  </r>
  <r>
    <n v="897"/>
    <m/>
    <s v="Sisters"/>
    <s v="Sea Vuna Fishing"/>
    <n v="2400479"/>
    <d v="2024-02-07T00:00:00"/>
    <x v="179"/>
    <n v="87"/>
    <n v="0"/>
    <n v="4533"/>
    <n v="3"/>
    <n v="12"/>
    <n v="17"/>
    <n v="0"/>
    <n v="0"/>
    <n v="25"/>
    <n v="0"/>
    <n v="20"/>
    <n v="0"/>
    <n v="4"/>
    <n v="0"/>
    <n v="262"/>
    <n v="0"/>
    <n v="2800"/>
    <n v="0"/>
    <n v="0"/>
    <n v="0"/>
    <n v="0"/>
    <n v="0"/>
    <n v="16"/>
    <n v="0"/>
    <n v="17"/>
    <n v="0"/>
    <n v="0"/>
    <n v="0"/>
    <n v="0"/>
  </r>
  <r>
    <n v="899"/>
    <m/>
    <s v="Sisters"/>
    <s v="Sea Vuna Fishing"/>
    <n v="2400479"/>
    <d v="2024-01-29T00:00:00"/>
    <x v="175"/>
    <n v="664"/>
    <n v="77"/>
    <n v="14809"/>
    <n v="109"/>
    <n v="12186"/>
    <n v="334"/>
    <n v="151"/>
    <n v="55"/>
    <n v="25"/>
    <n v="0"/>
    <n v="2372"/>
    <n v="0"/>
    <n v="0"/>
    <n v="0"/>
    <n v="832"/>
    <n v="0"/>
    <n v="12198"/>
    <n v="0"/>
    <n v="0"/>
    <n v="0"/>
    <n v="0"/>
    <n v="0"/>
    <n v="532"/>
    <n v="0"/>
    <n v="276"/>
    <n v="1"/>
    <n v="383"/>
    <n v="0"/>
    <n v="0"/>
  </r>
  <r>
    <n v="901"/>
    <m/>
    <s v="Sisters"/>
    <s v="Sea Vuna Fishing"/>
    <n v="2400479"/>
    <d v="2024-01-20T00:00:00"/>
    <x v="180"/>
    <n v="480"/>
    <n v="11"/>
    <n v="32565"/>
    <n v="62"/>
    <n v="1657"/>
    <n v="196"/>
    <n v="92"/>
    <n v="0"/>
    <n v="454"/>
    <n v="0"/>
    <n v="864"/>
    <n v="0"/>
    <n v="259"/>
    <n v="1"/>
    <n v="497"/>
    <n v="1"/>
    <n v="3363"/>
    <n v="0"/>
    <n v="0"/>
    <n v="0"/>
    <n v="0"/>
    <n v="0"/>
    <n v="500"/>
    <n v="0"/>
    <n v="226"/>
    <n v="0"/>
    <n v="54"/>
    <n v="0"/>
    <n v="0"/>
  </r>
  <r>
    <n v="903"/>
    <m/>
    <s v="Sisters"/>
    <s v="Sea Vuna Fishing"/>
    <n v="2400479"/>
    <d v="2024-01-11T00:00:00"/>
    <x v="181"/>
    <n v="0"/>
    <n v="0"/>
    <n v="34681"/>
    <n v="23"/>
    <n v="0"/>
    <n v="433"/>
    <n v="0"/>
    <n v="0"/>
    <n v="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05"/>
    <m/>
    <s v="Sisters"/>
    <s v="Sea Vuna Fishing"/>
    <n v="2300553"/>
    <d v="2023-12-26T00:00:00"/>
    <x v="182"/>
    <n v="1342"/>
    <n v="0"/>
    <n v="14042"/>
    <n v="47"/>
    <n v="22230"/>
    <n v="743"/>
    <n v="0"/>
    <n v="0"/>
    <n v="1006"/>
    <n v="0"/>
    <n v="692"/>
    <n v="0"/>
    <n v="463"/>
    <n v="0"/>
    <n v="426"/>
    <n v="0"/>
    <n v="853"/>
    <n v="0"/>
    <n v="0"/>
    <n v="0"/>
    <n v="0"/>
    <n v="0"/>
    <n v="296"/>
    <n v="18"/>
    <n v="9"/>
    <n v="0"/>
    <n v="3"/>
    <n v="0"/>
    <n v="0"/>
  </r>
  <r>
    <n v="907"/>
    <m/>
    <s v="Portunity"/>
    <s v="Sea Vuna Fishing"/>
    <n v="2400484"/>
    <d v="2024-01-06T00:00:00"/>
    <x v="183"/>
    <n v="607"/>
    <n v="0"/>
    <n v="19582"/>
    <n v="18"/>
    <n v="1691"/>
    <n v="179"/>
    <n v="0"/>
    <n v="0"/>
    <n v="48"/>
    <n v="0"/>
    <n v="92"/>
    <n v="0"/>
    <n v="3973"/>
    <n v="0"/>
    <n v="839"/>
    <n v="0"/>
    <n v="7873"/>
    <n v="0"/>
    <n v="0"/>
    <n v="0"/>
    <n v="0"/>
    <n v="0"/>
    <n v="306"/>
    <n v="20"/>
    <n v="266"/>
    <n v="0"/>
    <n v="10"/>
    <n v="0"/>
    <n v="0"/>
  </r>
  <r>
    <n v="909"/>
    <m/>
    <s v="Portunity"/>
    <s v="Sea Vuna Fishing"/>
    <n v="2300550"/>
    <d v="2023-12-29T00:00:00"/>
    <x v="184"/>
    <n v="229"/>
    <n v="0"/>
    <n v="19330"/>
    <n v="32"/>
    <n v="101"/>
    <n v="200"/>
    <n v="0"/>
    <n v="0"/>
    <n v="23"/>
    <n v="0"/>
    <n v="120"/>
    <n v="0"/>
    <n v="0"/>
    <n v="0"/>
    <n v="720"/>
    <n v="0"/>
    <n v="13747"/>
    <n v="0"/>
    <n v="0"/>
    <n v="0"/>
    <n v="0"/>
    <n v="0"/>
    <n v="172"/>
    <n v="0"/>
    <n v="369"/>
    <n v="0"/>
    <n v="1"/>
    <n v="0"/>
    <n v="0"/>
  </r>
  <r>
    <n v="911"/>
    <m/>
    <s v="Portunity"/>
    <s v="Sea Vuna Fishing"/>
    <n v="2400479"/>
    <d v="2024-02-08T00:00:00"/>
    <x v="185"/>
    <n v="240"/>
    <n v="4"/>
    <n v="8667"/>
    <n v="102"/>
    <n v="5780"/>
    <n v="502"/>
    <n v="52"/>
    <n v="0"/>
    <n v="13"/>
    <n v="0"/>
    <n v="2380"/>
    <n v="0"/>
    <n v="0"/>
    <n v="0"/>
    <n v="598"/>
    <n v="0"/>
    <n v="5866"/>
    <n v="0"/>
    <n v="0"/>
    <n v="0"/>
    <n v="0"/>
    <n v="0"/>
    <n v="216"/>
    <n v="0"/>
    <n v="32"/>
    <n v="0"/>
    <n v="58"/>
    <n v="0"/>
    <n v="0"/>
  </r>
  <r>
    <n v="913"/>
    <m/>
    <s v="Lady Imelda"/>
    <s v="Sea Vuna Fishing"/>
    <n v="2400479"/>
    <d v="2024-02-17T00:00:00"/>
    <x v="186"/>
    <n v="68"/>
    <n v="328"/>
    <n v="4028"/>
    <n v="0"/>
    <n v="0"/>
    <n v="0"/>
    <n v="0"/>
    <n v="0"/>
    <n v="0"/>
    <n v="0"/>
    <n v="320"/>
    <n v="0"/>
    <n v="0"/>
    <n v="0"/>
    <n v="815"/>
    <n v="30"/>
    <n v="3"/>
    <n v="0"/>
    <n v="0"/>
    <n v="0"/>
    <n v="0"/>
    <n v="0"/>
    <n v="1828"/>
    <n v="0"/>
    <n v="81"/>
    <n v="0"/>
    <n v="629"/>
    <n v="0"/>
    <n v="0"/>
  </r>
  <r>
    <n v="915"/>
    <m/>
    <s v="Lady Imelda"/>
    <s v="Sea Vuna Fishing"/>
    <n v="2400479"/>
    <d v="2024-02-01T00:00:00"/>
    <x v="176"/>
    <n v="120"/>
    <n v="126"/>
    <n v="2504"/>
    <n v="6"/>
    <n v="90"/>
    <n v="0"/>
    <n v="0"/>
    <n v="0"/>
    <n v="0"/>
    <n v="0"/>
    <n v="128"/>
    <n v="0"/>
    <n v="0"/>
    <n v="0"/>
    <n v="732"/>
    <n v="89"/>
    <n v="293"/>
    <n v="0"/>
    <n v="0"/>
    <n v="0"/>
    <n v="0"/>
    <n v="0"/>
    <n v="412"/>
    <n v="0"/>
    <n v="288"/>
    <n v="0"/>
    <n v="442"/>
    <n v="0"/>
    <n v="0"/>
  </r>
  <r>
    <n v="917"/>
    <m/>
    <s v="Lady Imelda"/>
    <s v="Sea Vuna Fishing"/>
    <n v="2400479"/>
    <d v="2024-01-25T00:00:00"/>
    <x v="187"/>
    <n v="76"/>
    <n v="106"/>
    <n v="1841"/>
    <n v="3"/>
    <n v="1897"/>
    <n v="0"/>
    <n v="0"/>
    <n v="0"/>
    <n v="0"/>
    <n v="0"/>
    <n v="64"/>
    <n v="0"/>
    <n v="0"/>
    <n v="0"/>
    <n v="662"/>
    <n v="47"/>
    <n v="235"/>
    <n v="0"/>
    <n v="0"/>
    <n v="0"/>
    <n v="0"/>
    <n v="0"/>
    <n v="592"/>
    <n v="0"/>
    <n v="194"/>
    <n v="0"/>
    <n v="180"/>
    <n v="0"/>
    <n v="0"/>
  </r>
  <r>
    <n v="919"/>
    <m/>
    <s v="Lady Imelda"/>
    <s v="Sea Vuna Fishing"/>
    <n v="2400479"/>
    <d v="2024-01-20T00:00:00"/>
    <x v="188"/>
    <n v="5"/>
    <n v="5"/>
    <n v="623"/>
    <n v="0"/>
    <n v="140"/>
    <n v="0"/>
    <n v="0"/>
    <n v="0"/>
    <n v="0"/>
    <n v="0"/>
    <n v="36"/>
    <n v="0"/>
    <n v="0"/>
    <n v="0"/>
    <n v="56"/>
    <n v="0"/>
    <n v="57"/>
    <n v="0"/>
    <n v="0"/>
    <n v="0"/>
    <n v="0"/>
    <n v="0"/>
    <n v="272"/>
    <n v="0"/>
    <n v="18"/>
    <n v="0"/>
    <n v="43"/>
    <n v="0"/>
    <n v="0"/>
  </r>
  <r>
    <n v="921"/>
    <m/>
    <s v="Lady Imelda"/>
    <s v="Sea Vuna Fishing"/>
    <n v="2400479"/>
    <d v="2024-01-15T00:00:00"/>
    <x v="189"/>
    <n v="179"/>
    <n v="176"/>
    <n v="3254"/>
    <n v="14"/>
    <n v="5"/>
    <n v="0"/>
    <n v="0"/>
    <n v="0"/>
    <n v="0"/>
    <n v="0"/>
    <n v="256"/>
    <n v="0"/>
    <n v="0"/>
    <n v="0"/>
    <n v="1869"/>
    <n v="118"/>
    <n v="638"/>
    <n v="0"/>
    <n v="0"/>
    <n v="0"/>
    <n v="0"/>
    <n v="0"/>
    <n v="1058"/>
    <n v="0"/>
    <n v="276"/>
    <n v="0"/>
    <n v="392"/>
    <n v="0"/>
    <n v="0"/>
  </r>
  <r>
    <n v="923"/>
    <m/>
    <s v="Lady Imelda"/>
    <s v="Sea Vuna Fishing"/>
    <n v="2400479"/>
    <d v="2024-03-28T00:00:00"/>
    <x v="190"/>
    <n v="65"/>
    <n v="217"/>
    <n v="4722"/>
    <n v="2"/>
    <n v="29"/>
    <n v="0"/>
    <n v="0"/>
    <n v="0"/>
    <n v="0"/>
    <n v="0"/>
    <n v="320"/>
    <n v="0"/>
    <n v="0"/>
    <n v="0"/>
    <n v="221"/>
    <n v="1"/>
    <n v="46"/>
    <n v="0"/>
    <n v="0"/>
    <n v="0"/>
    <n v="0"/>
    <n v="0"/>
    <n v="326"/>
    <n v="0"/>
    <n v="157"/>
    <n v="0"/>
    <n v="720"/>
    <n v="0"/>
    <n v="0"/>
  </r>
  <r>
    <n v="925"/>
    <m/>
    <s v="Elke M"/>
    <s v="Chettys Fisheries cc"/>
    <n v="2300334"/>
    <d v="2023-01-06T00:00:00"/>
    <x v="32"/>
    <n v="0"/>
    <n v="0"/>
    <n v="7160"/>
    <n v="6"/>
    <n v="644"/>
    <n v="17"/>
    <n v="0"/>
    <n v="0"/>
    <n v="0"/>
    <n v="0"/>
    <n v="0"/>
    <n v="0"/>
    <n v="0"/>
    <n v="0"/>
    <n v="0"/>
    <n v="24"/>
    <n v="241"/>
    <n v="0"/>
    <n v="0"/>
    <n v="0"/>
    <n v="0"/>
    <n v="0"/>
    <n v="0"/>
    <n v="0"/>
    <n v="76"/>
    <n v="0"/>
    <n v="0"/>
    <n v="0"/>
    <n v="0"/>
  </r>
  <r>
    <n v="925"/>
    <m/>
    <s v="Elke M"/>
    <s v="Mayibuye Fishing"/>
    <n v="2300330"/>
    <d v="2023-01-06T00:00:00"/>
    <x v="32"/>
    <n v="0"/>
    <n v="0"/>
    <n v="2570"/>
    <n v="2"/>
    <n v="231"/>
    <n v="6"/>
    <n v="0"/>
    <n v="0"/>
    <n v="0"/>
    <n v="0"/>
    <n v="0"/>
    <n v="0"/>
    <n v="0"/>
    <n v="0"/>
    <n v="0"/>
    <n v="9"/>
    <n v="86"/>
    <n v="0"/>
    <n v="0"/>
    <n v="0"/>
    <n v="0"/>
    <n v="0"/>
    <n v="0"/>
    <n v="0"/>
    <n v="27"/>
    <n v="0"/>
    <n v="0"/>
    <n v="0"/>
    <n v="0"/>
  </r>
  <r>
    <n v="925"/>
    <m/>
    <s v="Elke M"/>
    <s v="Atlantis"/>
    <n v="2300348"/>
    <d v="2023-01-06T00:00:00"/>
    <x v="32"/>
    <n v="0"/>
    <n v="0"/>
    <n v="7626"/>
    <n v="7"/>
    <n v="686"/>
    <n v="18"/>
    <n v="0"/>
    <n v="0"/>
    <n v="0"/>
    <n v="0"/>
    <n v="0"/>
    <n v="0"/>
    <n v="0"/>
    <n v="0"/>
    <n v="0"/>
    <n v="26"/>
    <n v="256"/>
    <n v="0"/>
    <n v="0"/>
    <n v="0"/>
    <n v="0"/>
    <n v="0"/>
    <n v="0"/>
    <n v="0"/>
    <n v="81"/>
    <n v="0"/>
    <n v="0"/>
    <n v="0"/>
    <n v="0"/>
  </r>
  <r>
    <n v="925"/>
    <m/>
    <s v="Elke M"/>
    <s v="Ocean Prince"/>
    <n v="2300351"/>
    <d v="2023-01-06T00:00:00"/>
    <x v="32"/>
    <n v="0"/>
    <n v="0"/>
    <n v="7626"/>
    <n v="7"/>
    <n v="686"/>
    <n v="18"/>
    <n v="0"/>
    <n v="0"/>
    <n v="0"/>
    <n v="0"/>
    <n v="0"/>
    <n v="0"/>
    <n v="0"/>
    <n v="0"/>
    <n v="0"/>
    <n v="26"/>
    <n v="256"/>
    <n v="0"/>
    <n v="0"/>
    <n v="0"/>
    <n v="0"/>
    <n v="0"/>
    <n v="0"/>
    <n v="0"/>
    <n v="81"/>
    <n v="0"/>
    <n v="0"/>
    <n v="0"/>
    <n v="0"/>
  </r>
  <r>
    <n v="925"/>
    <m/>
    <s v="Elke M"/>
    <s v="Vecto trade"/>
    <n v="2300336"/>
    <d v="2023-01-06T00:00:00"/>
    <x v="32"/>
    <n v="0"/>
    <n v="0"/>
    <n v="2638"/>
    <n v="2"/>
    <n v="237"/>
    <n v="6"/>
    <n v="0"/>
    <n v="0"/>
    <n v="0"/>
    <n v="0"/>
    <n v="0"/>
    <n v="0"/>
    <n v="0"/>
    <n v="0"/>
    <n v="0"/>
    <n v="9"/>
    <n v="89"/>
    <n v="0"/>
    <n v="0"/>
    <n v="0"/>
    <n v="0"/>
    <n v="0"/>
    <n v="0"/>
    <n v="0"/>
    <n v="28"/>
    <n v="0"/>
    <n v="0"/>
    <n v="0"/>
    <n v="0"/>
  </r>
  <r>
    <n v="925"/>
    <m/>
    <s v="Elke M"/>
    <s v="Seeheim"/>
    <n v="2300335"/>
    <d v="2023-01-06T00:00:00"/>
    <x v="32"/>
    <n v="0"/>
    <n v="0"/>
    <n v="2638"/>
    <n v="2"/>
    <n v="237"/>
    <n v="6"/>
    <n v="0"/>
    <n v="0"/>
    <n v="0"/>
    <n v="0"/>
    <n v="0"/>
    <n v="0"/>
    <n v="0"/>
    <n v="0"/>
    <n v="0"/>
    <n v="9"/>
    <n v="89"/>
    <n v="0"/>
    <n v="0"/>
    <n v="0"/>
    <n v="0"/>
    <n v="0"/>
    <n v="0"/>
    <n v="0"/>
    <n v="28"/>
    <n v="0"/>
    <n v="0"/>
    <n v="0"/>
    <n v="0"/>
  </r>
  <r>
    <n v="925"/>
    <m/>
    <s v="Elke M"/>
    <s v="Capenis Investments"/>
    <n v="2300333"/>
    <d v="2023-01-06T00:00:00"/>
    <x v="32"/>
    <n v="0"/>
    <n v="0"/>
    <n v="2638"/>
    <n v="2"/>
    <n v="237"/>
    <n v="6"/>
    <n v="0"/>
    <n v="0"/>
    <n v="0"/>
    <n v="0"/>
    <n v="0"/>
    <n v="0"/>
    <n v="0"/>
    <n v="0"/>
    <n v="0"/>
    <n v="9"/>
    <n v="89"/>
    <n v="0"/>
    <n v="0"/>
    <n v="0"/>
    <n v="0"/>
    <n v="0"/>
    <n v="0"/>
    <n v="0"/>
    <n v="28"/>
    <n v="0"/>
    <n v="0"/>
    <n v="0"/>
    <n v="0"/>
  </r>
  <r>
    <n v="927"/>
    <m/>
    <s v="Elke M"/>
    <s v="Namutoni"/>
    <n v="2300338"/>
    <d v="2023-01-06T00:00:00"/>
    <x v="32"/>
    <n v="0"/>
    <n v="0"/>
    <n v="2638"/>
    <n v="2"/>
    <n v="237"/>
    <n v="6"/>
    <n v="0"/>
    <n v="0"/>
    <n v="0"/>
    <n v="0"/>
    <n v="0"/>
    <n v="0"/>
    <n v="0"/>
    <n v="0"/>
    <n v="0"/>
    <n v="9"/>
    <n v="89"/>
    <n v="0"/>
    <n v="0"/>
    <n v="0"/>
    <n v="0"/>
    <n v="0"/>
    <n v="0"/>
    <n v="0"/>
    <n v="28"/>
    <n v="0"/>
    <n v="0"/>
    <n v="0"/>
    <n v="0"/>
  </r>
  <r>
    <n v="930"/>
    <m/>
    <s v="Elke M"/>
    <s v="Chettys Fisheries cc"/>
    <n v="2300334"/>
    <d v="2023-01-12T00:00:00"/>
    <x v="48"/>
    <n v="17"/>
    <n v="0"/>
    <n v="7323"/>
    <n v="160"/>
    <n v="724"/>
    <n v="82"/>
    <n v="0"/>
    <n v="0"/>
    <n v="0"/>
    <n v="0"/>
    <n v="0"/>
    <n v="0"/>
    <n v="0"/>
    <n v="0"/>
    <n v="28"/>
    <n v="3"/>
    <n v="479"/>
    <n v="0"/>
    <n v="0"/>
    <n v="0"/>
    <n v="0"/>
    <n v="0"/>
    <n v="0"/>
    <n v="0"/>
    <n v="12"/>
    <n v="0"/>
    <n v="0"/>
    <n v="0"/>
    <n v="0"/>
  </r>
  <r>
    <n v="930"/>
    <m/>
    <s v="Elke M"/>
    <s v="Mayibuye Fishing"/>
    <n v="2300330"/>
    <d v="2023-01-12T00:00:00"/>
    <x v="48"/>
    <n v="6"/>
    <n v="0"/>
    <n v="2628"/>
    <n v="57"/>
    <n v="260"/>
    <n v="29"/>
    <n v="0"/>
    <n v="0"/>
    <n v="0"/>
    <n v="0"/>
    <n v="0"/>
    <n v="0"/>
    <n v="0"/>
    <n v="0"/>
    <n v="10"/>
    <n v="1"/>
    <n v="172"/>
    <n v="0"/>
    <n v="0"/>
    <n v="0"/>
    <n v="0"/>
    <n v="0"/>
    <n v="0"/>
    <n v="0"/>
    <n v="4"/>
    <n v="0"/>
    <n v="0"/>
    <n v="0"/>
    <n v="0"/>
  </r>
  <r>
    <n v="930"/>
    <m/>
    <s v="Elke M"/>
    <s v="Atlantis"/>
    <n v="2300348"/>
    <d v="2023-01-12T00:00:00"/>
    <x v="48"/>
    <n v="18"/>
    <n v="0"/>
    <n v="7799"/>
    <n v="170"/>
    <n v="772"/>
    <n v="87"/>
    <n v="0"/>
    <n v="0"/>
    <n v="0"/>
    <n v="0"/>
    <n v="0"/>
    <n v="0"/>
    <n v="0"/>
    <n v="0"/>
    <n v="29"/>
    <n v="3"/>
    <n v="510"/>
    <n v="0"/>
    <n v="0"/>
    <n v="0"/>
    <n v="0"/>
    <n v="0"/>
    <n v="0"/>
    <n v="0"/>
    <n v="13"/>
    <n v="0"/>
    <n v="0"/>
    <n v="0"/>
    <n v="0"/>
  </r>
  <r>
    <n v="930"/>
    <m/>
    <s v="Elke M"/>
    <s v="Ocean Prince"/>
    <n v="2300351"/>
    <d v="2023-01-12T00:00:00"/>
    <x v="48"/>
    <n v="18"/>
    <n v="0"/>
    <n v="7799"/>
    <n v="170"/>
    <n v="772"/>
    <n v="87"/>
    <n v="0"/>
    <n v="0"/>
    <n v="0"/>
    <n v="0"/>
    <n v="0"/>
    <n v="0"/>
    <n v="0"/>
    <n v="0"/>
    <n v="29"/>
    <n v="3"/>
    <n v="510"/>
    <n v="0"/>
    <n v="0"/>
    <n v="0"/>
    <n v="0"/>
    <n v="0"/>
    <n v="0"/>
    <n v="0"/>
    <n v="13"/>
    <n v="0"/>
    <n v="0"/>
    <n v="0"/>
    <n v="0"/>
  </r>
  <r>
    <n v="930"/>
    <m/>
    <s v="Elke M"/>
    <s v="Vecto trade"/>
    <n v="2300336"/>
    <d v="2023-01-12T00:00:00"/>
    <x v="48"/>
    <n v="6"/>
    <n v="0"/>
    <n v="2698"/>
    <n v="59"/>
    <n v="267"/>
    <n v="30"/>
    <n v="0"/>
    <n v="0"/>
    <n v="0"/>
    <n v="0"/>
    <n v="0"/>
    <n v="0"/>
    <n v="0"/>
    <n v="0"/>
    <n v="10"/>
    <n v="1"/>
    <n v="177"/>
    <n v="0"/>
    <n v="0"/>
    <n v="0"/>
    <n v="0"/>
    <n v="0"/>
    <n v="0"/>
    <n v="0"/>
    <n v="4"/>
    <n v="0"/>
    <n v="0"/>
    <n v="0"/>
    <n v="0"/>
  </r>
  <r>
    <n v="930"/>
    <m/>
    <s v="Elke M"/>
    <s v="Seeheim"/>
    <n v="2300335"/>
    <d v="2023-01-12T00:00:00"/>
    <x v="48"/>
    <n v="6"/>
    <n v="0"/>
    <n v="2698"/>
    <n v="59"/>
    <n v="267"/>
    <n v="30"/>
    <n v="0"/>
    <n v="0"/>
    <n v="0"/>
    <n v="0"/>
    <n v="0"/>
    <n v="0"/>
    <n v="0"/>
    <n v="0"/>
    <n v="10"/>
    <n v="1"/>
    <n v="177"/>
    <n v="0"/>
    <n v="0"/>
    <n v="0"/>
    <n v="0"/>
    <n v="0"/>
    <n v="0"/>
    <n v="0"/>
    <n v="4"/>
    <n v="0"/>
    <n v="0"/>
    <n v="0"/>
    <n v="0"/>
  </r>
  <r>
    <n v="930"/>
    <m/>
    <s v="Elke M"/>
    <s v="Capenis Investments"/>
    <n v="2300333"/>
    <d v="2023-01-12T00:00:00"/>
    <x v="48"/>
    <n v="6"/>
    <n v="0"/>
    <n v="2698"/>
    <n v="59"/>
    <n v="267"/>
    <n v="30"/>
    <n v="0"/>
    <n v="0"/>
    <n v="0"/>
    <n v="0"/>
    <n v="0"/>
    <n v="0"/>
    <n v="0"/>
    <n v="0"/>
    <n v="10"/>
    <n v="1"/>
    <n v="177"/>
    <n v="0"/>
    <n v="0"/>
    <n v="0"/>
    <n v="0"/>
    <n v="0"/>
    <n v="0"/>
    <n v="0"/>
    <n v="4"/>
    <n v="0"/>
    <n v="0"/>
    <n v="0"/>
    <n v="0"/>
  </r>
  <r>
    <n v="932"/>
    <m/>
    <s v="Elke M"/>
    <s v="Namutoni"/>
    <n v="2300338"/>
    <d v="2023-01-12T00:00:00"/>
    <x v="48"/>
    <n v="6"/>
    <n v="0"/>
    <n v="2698"/>
    <n v="59"/>
    <n v="267"/>
    <n v="30"/>
    <n v="0"/>
    <n v="0"/>
    <n v="0"/>
    <n v="0"/>
    <n v="0"/>
    <n v="0"/>
    <n v="0"/>
    <n v="0"/>
    <n v="10"/>
    <n v="1"/>
    <n v="177"/>
    <n v="0"/>
    <n v="0"/>
    <n v="0"/>
    <n v="0"/>
    <n v="0"/>
    <n v="0"/>
    <n v="0"/>
    <n v="4"/>
    <n v="0"/>
    <n v="0"/>
    <n v="0"/>
    <n v="0"/>
  </r>
  <r>
    <n v="935"/>
    <m/>
    <s v="Elke M"/>
    <s v="Chettys Fisheries cc"/>
    <n v="2300334"/>
    <d v="2023-01-21T00:00:00"/>
    <x v="191"/>
    <n v="0"/>
    <n v="0"/>
    <n v="6964"/>
    <n v="296"/>
    <n v="98"/>
    <n v="0"/>
    <n v="0"/>
    <n v="0"/>
    <n v="0"/>
    <n v="0"/>
    <n v="0"/>
    <n v="0"/>
    <n v="0"/>
    <n v="0"/>
    <n v="130"/>
    <n v="9"/>
    <n v="406"/>
    <n v="0"/>
    <n v="0"/>
    <n v="0"/>
    <n v="0"/>
    <n v="0"/>
    <n v="0"/>
    <n v="0"/>
    <n v="52"/>
    <n v="0"/>
    <n v="0"/>
    <n v="0"/>
    <n v="0"/>
  </r>
  <r>
    <n v="935"/>
    <m/>
    <s v="Elke M"/>
    <s v="Mayibuye Fishing"/>
    <n v="2300330"/>
    <d v="2023-01-21T00:00:00"/>
    <x v="191"/>
    <n v="0"/>
    <n v="0"/>
    <n v="2500"/>
    <n v="106"/>
    <n v="35"/>
    <n v="0"/>
    <n v="0"/>
    <n v="0"/>
    <n v="0"/>
    <n v="0"/>
    <n v="0"/>
    <n v="0"/>
    <n v="0"/>
    <n v="0"/>
    <n v="46"/>
    <n v="3"/>
    <n v="146"/>
    <n v="0"/>
    <n v="0"/>
    <n v="0"/>
    <n v="0"/>
    <n v="0"/>
    <n v="0"/>
    <n v="0"/>
    <n v="19"/>
    <n v="0"/>
    <n v="0"/>
    <n v="0"/>
    <n v="0"/>
  </r>
  <r>
    <n v="935"/>
    <m/>
    <s v="Elke M"/>
    <s v="Atlantis"/>
    <n v="2300348"/>
    <d v="2023-01-21T00:00:00"/>
    <x v="191"/>
    <n v="0"/>
    <n v="0"/>
    <n v="7415"/>
    <n v="315"/>
    <n v="104"/>
    <n v="0"/>
    <n v="0"/>
    <n v="0"/>
    <n v="0"/>
    <n v="0"/>
    <n v="0"/>
    <n v="0"/>
    <n v="0"/>
    <n v="0"/>
    <n v="139"/>
    <n v="9"/>
    <n v="433"/>
    <n v="0"/>
    <n v="0"/>
    <n v="0"/>
    <n v="0"/>
    <n v="0"/>
    <n v="0"/>
    <n v="0"/>
    <n v="55"/>
    <n v="0"/>
    <n v="0"/>
    <n v="0"/>
    <n v="0"/>
  </r>
  <r>
    <n v="935"/>
    <m/>
    <s v="Elke M"/>
    <s v="Ocean Prince"/>
    <n v="2300351"/>
    <d v="2023-01-21T00:00:00"/>
    <x v="191"/>
    <n v="0"/>
    <n v="0"/>
    <n v="7415"/>
    <n v="315"/>
    <n v="104"/>
    <n v="0"/>
    <n v="0"/>
    <n v="0"/>
    <n v="0"/>
    <n v="0"/>
    <n v="0"/>
    <n v="0"/>
    <n v="0"/>
    <n v="0"/>
    <n v="139"/>
    <n v="9"/>
    <n v="433"/>
    <n v="0"/>
    <n v="0"/>
    <n v="0"/>
    <n v="0"/>
    <n v="0"/>
    <n v="0"/>
    <n v="0"/>
    <n v="55"/>
    <n v="0"/>
    <n v="0"/>
    <n v="0"/>
    <n v="0"/>
  </r>
  <r>
    <n v="935"/>
    <m/>
    <s v="Elke M"/>
    <s v="Vecto trade"/>
    <n v="2300336"/>
    <d v="2023-01-21T00:00:00"/>
    <x v="191"/>
    <n v="0"/>
    <n v="0"/>
    <n v="2565"/>
    <n v="109"/>
    <n v="36"/>
    <n v="0"/>
    <n v="0"/>
    <n v="0"/>
    <n v="0"/>
    <n v="0"/>
    <n v="0"/>
    <n v="0"/>
    <n v="0"/>
    <n v="0"/>
    <n v="48"/>
    <n v="3"/>
    <n v="150"/>
    <n v="0"/>
    <n v="0"/>
    <n v="0"/>
    <n v="0"/>
    <n v="0"/>
    <n v="0"/>
    <n v="0"/>
    <n v="19"/>
    <n v="0"/>
    <n v="0"/>
    <n v="0"/>
    <n v="0"/>
  </r>
  <r>
    <n v="935"/>
    <m/>
    <s v="Elke M"/>
    <s v="Seeheim"/>
    <n v="2300335"/>
    <d v="2023-01-21T00:00:00"/>
    <x v="191"/>
    <n v="0"/>
    <n v="0"/>
    <n v="2565"/>
    <n v="109"/>
    <n v="36"/>
    <n v="0"/>
    <n v="0"/>
    <n v="0"/>
    <n v="0"/>
    <n v="0"/>
    <n v="0"/>
    <n v="0"/>
    <n v="0"/>
    <n v="0"/>
    <n v="48"/>
    <n v="3"/>
    <n v="150"/>
    <n v="0"/>
    <n v="0"/>
    <n v="0"/>
    <n v="0"/>
    <n v="0"/>
    <n v="0"/>
    <n v="0"/>
    <n v="19"/>
    <n v="0"/>
    <n v="0"/>
    <n v="0"/>
    <n v="0"/>
  </r>
  <r>
    <n v="935"/>
    <m/>
    <s v="Elke M"/>
    <s v="Capenis Investments"/>
    <n v="2300333"/>
    <d v="2023-01-21T00:00:00"/>
    <x v="191"/>
    <n v="0"/>
    <n v="0"/>
    <n v="2565"/>
    <n v="109"/>
    <n v="36"/>
    <n v="0"/>
    <n v="0"/>
    <n v="0"/>
    <n v="0"/>
    <n v="0"/>
    <n v="0"/>
    <n v="0"/>
    <n v="0"/>
    <n v="0"/>
    <n v="48"/>
    <n v="3"/>
    <n v="150"/>
    <n v="0"/>
    <n v="0"/>
    <n v="0"/>
    <n v="0"/>
    <n v="0"/>
    <n v="0"/>
    <n v="0"/>
    <n v="19"/>
    <n v="0"/>
    <n v="0"/>
    <n v="0"/>
    <n v="0"/>
  </r>
  <r>
    <n v="937"/>
    <m/>
    <s v="Elke M"/>
    <s v="Namutoni"/>
    <n v="2300338"/>
    <d v="2023-01-21T00:00:00"/>
    <x v="191"/>
    <n v="0"/>
    <n v="0"/>
    <n v="2565"/>
    <n v="109"/>
    <n v="36"/>
    <n v="0"/>
    <n v="0"/>
    <n v="0"/>
    <n v="0"/>
    <n v="0"/>
    <n v="0"/>
    <n v="0"/>
    <n v="0"/>
    <n v="0"/>
    <n v="48"/>
    <n v="3"/>
    <n v="150"/>
    <n v="0"/>
    <n v="0"/>
    <n v="0"/>
    <n v="0"/>
    <n v="0"/>
    <n v="0"/>
    <n v="0"/>
    <n v="19"/>
    <n v="0"/>
    <n v="0"/>
    <n v="0"/>
    <n v="0"/>
  </r>
  <r>
    <n v="940"/>
    <m/>
    <s v="Portunity"/>
    <s v="Sea Vuna Fishing"/>
    <n v="2400479"/>
    <d v="2024-02-27T00:00:00"/>
    <x v="192"/>
    <n v="981"/>
    <n v="0"/>
    <n v="18802"/>
    <n v="163"/>
    <n v="2291"/>
    <n v="31"/>
    <n v="14"/>
    <n v="0"/>
    <n v="0"/>
    <n v="0"/>
    <n v="1064"/>
    <n v="0"/>
    <n v="241"/>
    <n v="0"/>
    <n v="780"/>
    <n v="2"/>
    <n v="7620"/>
    <n v="0"/>
    <n v="0"/>
    <n v="0"/>
    <n v="0"/>
    <n v="0"/>
    <n v="238"/>
    <n v="2"/>
    <n v="114"/>
    <n v="0"/>
    <n v="26"/>
    <n v="0"/>
    <n v="0"/>
  </r>
  <r>
    <n v="942"/>
    <m/>
    <s v="Sisters"/>
    <s v="Sea Vuna Fishing"/>
    <n v="2400479"/>
    <d v="2024-03-23T00:00:00"/>
    <x v="193"/>
    <n v="1978"/>
    <n v="3"/>
    <n v="9775"/>
    <n v="93"/>
    <n v="22657"/>
    <n v="630"/>
    <n v="32"/>
    <n v="0"/>
    <n v="384"/>
    <n v="0"/>
    <n v="1240"/>
    <n v="0"/>
    <n v="0"/>
    <n v="0"/>
    <n v="315"/>
    <n v="0"/>
    <n v="1588"/>
    <n v="0"/>
    <n v="0"/>
    <n v="0"/>
    <n v="0"/>
    <n v="0"/>
    <n v="102"/>
    <n v="8"/>
    <n v="0"/>
    <n v="0"/>
    <n v="19"/>
    <n v="0"/>
    <n v="0"/>
  </r>
  <r>
    <n v="944"/>
    <m/>
    <s v="Portunity"/>
    <s v="Sea Vuna Fishing"/>
    <n v="2400479"/>
    <d v="2024-02-17T00:00:00"/>
    <x v="194"/>
    <n v="564"/>
    <n v="32"/>
    <n v="13153"/>
    <n v="53"/>
    <n v="2560"/>
    <n v="320"/>
    <n v="4"/>
    <n v="0"/>
    <n v="18"/>
    <n v="0"/>
    <n v="1228"/>
    <n v="0"/>
    <n v="139"/>
    <n v="0"/>
    <n v="865"/>
    <n v="1"/>
    <n v="10145"/>
    <n v="0"/>
    <n v="0"/>
    <n v="0"/>
    <n v="0"/>
    <n v="0"/>
    <n v="464"/>
    <n v="2"/>
    <n v="93"/>
    <n v="1"/>
    <n v="73"/>
    <n v="0"/>
    <n v="0"/>
  </r>
  <r>
    <n v="946"/>
    <m/>
    <s v="Teya-Nikka"/>
    <s v="Ulwandle Inshore (PTY) LTD"/>
    <n v="2402832"/>
    <d v="2024-03-19T00:00:00"/>
    <x v="195"/>
    <n v="314"/>
    <n v="246"/>
    <n v="13865"/>
    <n v="11"/>
    <n v="1664"/>
    <n v="0"/>
    <n v="0"/>
    <n v="0"/>
    <n v="0"/>
    <n v="0"/>
    <n v="0"/>
    <n v="0"/>
    <n v="0"/>
    <n v="0"/>
    <n v="324"/>
    <n v="0"/>
    <n v="688"/>
    <n v="0"/>
    <n v="0"/>
    <n v="0"/>
    <n v="0"/>
    <n v="0"/>
    <n v="1207"/>
    <n v="0"/>
    <n v="0"/>
    <n v="0"/>
    <n v="0"/>
    <n v="54"/>
    <n v="0"/>
  </r>
  <r>
    <n v="949"/>
    <m/>
    <s v="Lady Imelda"/>
    <s v="Sea Vuna Fishing"/>
    <n v="2400479"/>
    <d v="2024-04-03T00:00:00"/>
    <x v="196"/>
    <n v="3"/>
    <n v="87"/>
    <n v="3922"/>
    <n v="6"/>
    <n v="6"/>
    <n v="0"/>
    <n v="0"/>
    <n v="0"/>
    <n v="0"/>
    <n v="0"/>
    <n v="4"/>
    <n v="0"/>
    <n v="0"/>
    <n v="0"/>
    <n v="57"/>
    <n v="3"/>
    <n v="27"/>
    <n v="0"/>
    <n v="0"/>
    <n v="0"/>
    <n v="0"/>
    <n v="0"/>
    <n v="16"/>
    <n v="0"/>
    <n v="3"/>
    <n v="0"/>
    <n v="60"/>
    <n v="0"/>
    <n v="0"/>
  </r>
  <r>
    <n v="951"/>
    <m/>
    <s v="Lady Imelda"/>
    <s v="Sea Vuna Fishing"/>
    <n v="2400479"/>
    <d v="2024-02-29T00:00:00"/>
    <x v="197"/>
    <n v="12"/>
    <n v="27"/>
    <n v="1069"/>
    <n v="0"/>
    <n v="0"/>
    <n v="0"/>
    <n v="0"/>
    <n v="0"/>
    <n v="0"/>
    <n v="0"/>
    <n v="92"/>
    <n v="0"/>
    <n v="0"/>
    <n v="0"/>
    <n v="437"/>
    <n v="0"/>
    <n v="0"/>
    <n v="0"/>
    <n v="0"/>
    <n v="0"/>
    <n v="0"/>
    <n v="0"/>
    <n v="840"/>
    <n v="0"/>
    <n v="5"/>
    <n v="0"/>
    <n v="120"/>
    <n v="0"/>
    <n v="0"/>
  </r>
  <r>
    <n v="953"/>
    <m/>
    <s v="Sisters"/>
    <s v="Sea Vuna Fishing"/>
    <n v="2400479"/>
    <d v="2024-03-28T00:00:00"/>
    <x v="190"/>
    <n v="1244"/>
    <n v="0"/>
    <n v="3878"/>
    <n v="26"/>
    <n v="9451"/>
    <n v="547"/>
    <n v="45"/>
    <n v="0"/>
    <n v="328"/>
    <n v="0"/>
    <n v="856"/>
    <n v="0"/>
    <n v="28"/>
    <n v="0"/>
    <n v="133"/>
    <n v="0"/>
    <n v="884"/>
    <n v="0"/>
    <n v="0"/>
    <n v="0"/>
    <n v="0"/>
    <n v="0"/>
    <n v="150"/>
    <n v="6"/>
    <n v="4"/>
    <n v="0"/>
    <n v="8"/>
    <n v="0"/>
    <n v="0"/>
  </r>
  <r>
    <n v="955"/>
    <m/>
    <s v="Sisters"/>
    <s v="Sea Vuna Fishing"/>
    <n v="2400479"/>
    <d v="2024-04-03T00:00:00"/>
    <x v="198"/>
    <n v="823"/>
    <n v="2"/>
    <n v="3216"/>
    <n v="78"/>
    <n v="10615"/>
    <n v="55"/>
    <n v="0"/>
    <n v="0"/>
    <n v="44"/>
    <n v="0"/>
    <n v="108"/>
    <n v="0"/>
    <n v="47"/>
    <n v="0"/>
    <n v="139"/>
    <n v="0"/>
    <n v="428"/>
    <n v="0"/>
    <n v="0"/>
    <n v="0"/>
    <n v="0"/>
    <n v="0"/>
    <n v="268"/>
    <n v="0"/>
    <n v="6"/>
    <n v="0"/>
    <n v="24"/>
    <n v="0"/>
    <n v="0"/>
  </r>
  <r>
    <n v="957"/>
    <m/>
    <s v="Sisters"/>
    <s v="Sea Vuna Fishing"/>
    <n v="2400479"/>
    <d v="2024-03-07T00:00:00"/>
    <x v="199"/>
    <n v="1350"/>
    <n v="0"/>
    <n v="11264"/>
    <n v="134"/>
    <n v="25444"/>
    <n v="409"/>
    <n v="9"/>
    <n v="5"/>
    <n v="370"/>
    <n v="0"/>
    <n v="596"/>
    <n v="0"/>
    <n v="22"/>
    <n v="0"/>
    <n v="133"/>
    <n v="0"/>
    <n v="520"/>
    <n v="0"/>
    <n v="0"/>
    <n v="0"/>
    <n v="0"/>
    <n v="0"/>
    <n v="18"/>
    <n v="11"/>
    <n v="3"/>
    <n v="0"/>
    <n v="2"/>
    <n v="0"/>
    <n v="0"/>
  </r>
  <r>
    <n v="960"/>
    <m/>
    <s v="Portunity"/>
    <s v="Sea Vuna Fishing"/>
    <n v="2400479"/>
    <d v="2024-06-05T00:00:00"/>
    <x v="200"/>
    <n v="1498"/>
    <n v="23"/>
    <n v="16127"/>
    <n v="74"/>
    <n v="22"/>
    <n v="62"/>
    <n v="0"/>
    <n v="0"/>
    <n v="14"/>
    <n v="0"/>
    <n v="284"/>
    <n v="0"/>
    <n v="572"/>
    <n v="0"/>
    <n v="1200"/>
    <n v="16"/>
    <n v="15762"/>
    <n v="0"/>
    <n v="0"/>
    <n v="0"/>
    <n v="0"/>
    <n v="0"/>
    <n v="351"/>
    <n v="40"/>
    <n v="193"/>
    <n v="0"/>
    <n v="127"/>
    <n v="0"/>
    <n v="0"/>
  </r>
  <r>
    <n v="962"/>
    <m/>
    <s v="Portunity"/>
    <s v="Sea Vuna Fishing"/>
    <n v="2400479"/>
    <d v="2024-05-27T00:00:00"/>
    <x v="201"/>
    <n v="897"/>
    <n v="0"/>
    <n v="9456"/>
    <n v="45"/>
    <n v="94"/>
    <n v="0"/>
    <n v="0"/>
    <n v="0"/>
    <n v="4"/>
    <n v="0"/>
    <n v="0"/>
    <n v="0"/>
    <n v="193"/>
    <n v="0"/>
    <n v="770"/>
    <n v="0"/>
    <n v="5158"/>
    <n v="0"/>
    <n v="0"/>
    <n v="0"/>
    <n v="0"/>
    <n v="0"/>
    <n v="84"/>
    <n v="8"/>
    <n v="48"/>
    <n v="0"/>
    <n v="2"/>
    <n v="0"/>
    <n v="0"/>
  </r>
  <r>
    <n v="964"/>
    <m/>
    <s v="Sisters"/>
    <s v="Sea Vuna Fishing"/>
    <n v="2400477"/>
    <d v="2024-05-23T00:00:00"/>
    <x v="202"/>
    <n v="621"/>
    <n v="0"/>
    <n v="26292"/>
    <n v="91"/>
    <n v="4373"/>
    <n v="131"/>
    <n v="9"/>
    <n v="0"/>
    <n v="249"/>
    <n v="0"/>
    <n v="201"/>
    <n v="0"/>
    <n v="275"/>
    <n v="0"/>
    <n v="322"/>
    <n v="0"/>
    <n v="1611"/>
    <n v="0"/>
    <n v="0"/>
    <n v="0"/>
    <n v="0"/>
    <n v="0"/>
    <n v="100"/>
    <n v="20"/>
    <n v="178"/>
    <n v="0"/>
    <n v="34"/>
    <n v="0"/>
    <n v="0"/>
  </r>
  <r>
    <n v="966"/>
    <m/>
    <s v="Sisters"/>
    <s v="Sea Vuna Fishing"/>
    <n v="2400477"/>
    <d v="2024-05-17T00:00:00"/>
    <x v="203"/>
    <n v="3503"/>
    <n v="0"/>
    <n v="23242"/>
    <n v="169"/>
    <n v="268"/>
    <n v="169"/>
    <n v="0"/>
    <n v="0"/>
    <n v="1407"/>
    <n v="0"/>
    <n v="40"/>
    <n v="0"/>
    <n v="0"/>
    <n v="0"/>
    <n v="20"/>
    <n v="0"/>
    <n v="28"/>
    <n v="0"/>
    <n v="0"/>
    <n v="0"/>
    <n v="0"/>
    <n v="0"/>
    <n v="0"/>
    <n v="13"/>
    <n v="0"/>
    <n v="0"/>
    <n v="0"/>
    <n v="0"/>
    <n v="0"/>
  </r>
  <r>
    <n v="968"/>
    <m/>
    <s v="Sisters"/>
    <s v="Sea Vuna Fishing"/>
    <n v="2400477"/>
    <d v="2024-05-11T00:00:00"/>
    <x v="204"/>
    <n v="483"/>
    <n v="0"/>
    <n v="20893"/>
    <n v="90"/>
    <n v="8307"/>
    <n v="540"/>
    <n v="535"/>
    <n v="18"/>
    <n v="267"/>
    <n v="0"/>
    <n v="724"/>
    <n v="0"/>
    <n v="0"/>
    <n v="0"/>
    <n v="416"/>
    <n v="0"/>
    <n v="78"/>
    <n v="0"/>
    <n v="0"/>
    <n v="0"/>
    <n v="0"/>
    <n v="0"/>
    <n v="124"/>
    <n v="9"/>
    <n v="201"/>
    <n v="0"/>
    <n v="112"/>
    <n v="0"/>
    <n v="0"/>
  </r>
  <r>
    <n v="970"/>
    <m/>
    <s v="Sisters"/>
    <s v="Sea Vuna Fishing"/>
    <n v="2400477"/>
    <d v="2024-05-03T00:00:00"/>
    <x v="205"/>
    <n v="1090"/>
    <n v="0"/>
    <n v="9915"/>
    <n v="421"/>
    <n v="22101"/>
    <n v="244"/>
    <n v="27"/>
    <n v="0"/>
    <n v="1535"/>
    <n v="0"/>
    <n v="750"/>
    <n v="0"/>
    <n v="94"/>
    <n v="0"/>
    <n v="454"/>
    <n v="0"/>
    <n v="6072"/>
    <n v="0"/>
    <n v="0"/>
    <n v="0"/>
    <n v="0"/>
    <n v="0"/>
    <n v="162"/>
    <n v="20"/>
    <n v="141"/>
    <n v="0"/>
    <n v="28"/>
    <n v="0"/>
    <n v="0"/>
  </r>
  <r>
    <n v="972"/>
    <m/>
    <s v="Sisters"/>
    <s v="Sea Vuna Fishing"/>
    <m/>
    <d v="2024-04-30T00:00:00"/>
    <x v="206"/>
    <n v="739"/>
    <n v="0"/>
    <n v="9370"/>
    <n v="215"/>
    <n v="196"/>
    <n v="162"/>
    <n v="0"/>
    <n v="0"/>
    <n v="1035"/>
    <n v="0"/>
    <n v="0"/>
    <n v="0"/>
    <n v="0"/>
    <n v="0"/>
    <n v="41"/>
    <n v="0"/>
    <n v="62"/>
    <n v="0"/>
    <n v="0"/>
    <n v="0"/>
    <n v="0"/>
    <n v="0"/>
    <n v="0"/>
    <n v="0"/>
    <n v="20"/>
    <n v="0"/>
    <n v="0"/>
    <n v="0"/>
    <n v="0"/>
  </r>
  <r>
    <n v="974"/>
    <m/>
    <s v="Sisters"/>
    <s v="Sea Vuna Fishing"/>
    <n v="2400479"/>
    <d v="2024-04-23T00:00:00"/>
    <x v="207"/>
    <n v="1358"/>
    <n v="41"/>
    <n v="6177"/>
    <n v="38"/>
    <n v="25699"/>
    <n v="48"/>
    <n v="13"/>
    <n v="0"/>
    <n v="0"/>
    <n v="0"/>
    <n v="420"/>
    <n v="0"/>
    <n v="1044"/>
    <n v="0"/>
    <n v="386"/>
    <n v="0"/>
    <n v="520"/>
    <n v="0"/>
    <n v="0"/>
    <n v="0"/>
    <n v="0"/>
    <n v="0"/>
    <n v="804"/>
    <n v="0"/>
    <n v="33"/>
    <n v="0"/>
    <n v="251"/>
    <n v="0"/>
    <n v="0"/>
  </r>
  <r>
    <n v="976"/>
    <m/>
    <s v="Sisters"/>
    <s v="Sea Vuna Fishing"/>
    <n v="2400479"/>
    <d v="2024-04-18T00:00:00"/>
    <x v="208"/>
    <n v="2233"/>
    <n v="30"/>
    <n v="28455"/>
    <n v="158"/>
    <n v="12107"/>
    <n v="220"/>
    <n v="419"/>
    <n v="0"/>
    <n v="31"/>
    <n v="0"/>
    <n v="300"/>
    <n v="0"/>
    <n v="932"/>
    <n v="0"/>
    <n v="333"/>
    <n v="0"/>
    <n v="1323"/>
    <n v="0"/>
    <n v="0"/>
    <n v="0"/>
    <n v="0"/>
    <n v="0"/>
    <n v="682"/>
    <n v="40"/>
    <n v="92"/>
    <n v="1"/>
    <n v="117"/>
    <n v="0"/>
    <n v="0"/>
  </r>
  <r>
    <n v="978"/>
    <m/>
    <s v="Sisters"/>
    <s v="Sea Vuna Fishing"/>
    <n v="2400479"/>
    <d v="2024-04-12T00:00:00"/>
    <x v="209"/>
    <n v="879"/>
    <n v="3"/>
    <n v="18681"/>
    <n v="102"/>
    <n v="15437"/>
    <n v="213"/>
    <n v="625"/>
    <n v="0"/>
    <n v="167"/>
    <n v="0"/>
    <n v="1364"/>
    <n v="0"/>
    <n v="141"/>
    <n v="0"/>
    <n v="260"/>
    <n v="0"/>
    <n v="988"/>
    <n v="0"/>
    <n v="0"/>
    <n v="0"/>
    <n v="0"/>
    <n v="0"/>
    <n v="212"/>
    <n v="21"/>
    <n v="32"/>
    <n v="0"/>
    <n v="88"/>
    <n v="0"/>
    <n v="0"/>
  </r>
  <r>
    <n v="980"/>
    <m/>
    <s v="Lady Imelda"/>
    <s v="Sea Vuna Fishing"/>
    <n v="2400479"/>
    <d v="2024-06-09T00:00:00"/>
    <x v="210"/>
    <n v="123"/>
    <n v="286"/>
    <n v="6479"/>
    <n v="3"/>
    <n v="201"/>
    <n v="0"/>
    <n v="0"/>
    <n v="0"/>
    <n v="0"/>
    <n v="0"/>
    <n v="620"/>
    <n v="0"/>
    <n v="7"/>
    <n v="0"/>
    <n v="283"/>
    <n v="95"/>
    <n v="13"/>
    <n v="0"/>
    <n v="0"/>
    <n v="0"/>
    <n v="0"/>
    <n v="0"/>
    <n v="1852"/>
    <n v="0"/>
    <n v="5"/>
    <n v="0"/>
    <n v="180"/>
    <n v="0"/>
    <n v="0"/>
  </r>
  <r>
    <n v="982"/>
    <m/>
    <s v="Lady Imelda"/>
    <s v="Sea Vuna Fishing"/>
    <n v="2400479"/>
    <d v="2024-05-27T00:00:00"/>
    <x v="201"/>
    <n v="223"/>
    <n v="86"/>
    <n v="2051"/>
    <n v="5"/>
    <n v="20"/>
    <n v="0"/>
    <n v="0"/>
    <n v="0"/>
    <n v="0"/>
    <n v="0"/>
    <n v="108"/>
    <n v="0"/>
    <n v="0"/>
    <n v="0"/>
    <n v="141"/>
    <n v="0"/>
    <n v="0"/>
    <n v="0"/>
    <n v="0"/>
    <n v="0"/>
    <n v="0"/>
    <n v="0"/>
    <n v="220"/>
    <n v="0"/>
    <n v="0"/>
    <n v="0"/>
    <n v="0"/>
    <n v="0"/>
    <n v="0"/>
  </r>
  <r>
    <n v="984"/>
    <m/>
    <s v="Lady Imelda"/>
    <s v="Sea Vuna Fishing"/>
    <n v="2400479"/>
    <d v="2024-05-06T00:00:00"/>
    <x v="205"/>
    <n v="4"/>
    <n v="223"/>
    <n v="4468"/>
    <n v="2"/>
    <n v="0"/>
    <n v="0"/>
    <n v="0"/>
    <n v="0"/>
    <n v="0"/>
    <n v="0"/>
    <m/>
    <n v="0"/>
    <n v="0"/>
    <n v="0"/>
    <m/>
    <n v="0"/>
    <n v="39"/>
    <n v="0"/>
    <n v="0"/>
    <n v="0"/>
    <n v="0"/>
    <n v="0"/>
    <n v="162"/>
    <n v="0"/>
    <n v="0"/>
    <n v="0"/>
    <n v="0"/>
    <n v="0"/>
    <n v="0"/>
  </r>
  <r>
    <n v="986"/>
    <m/>
    <s v="Lady Imelda"/>
    <s v="Sea Vuna Fishing"/>
    <n v="2400479"/>
    <d v="2024-05-01T00:00:00"/>
    <x v="211"/>
    <n v="32"/>
    <n v="329"/>
    <n v="9627"/>
    <n v="2"/>
    <n v="3"/>
    <n v="0"/>
    <n v="0"/>
    <n v="0"/>
    <n v="0"/>
    <n v="0"/>
    <n v="48"/>
    <n v="0"/>
    <n v="0"/>
    <n v="0"/>
    <n v="399"/>
    <n v="1"/>
    <n v="0"/>
    <n v="0"/>
    <n v="0"/>
    <n v="0"/>
    <n v="0"/>
    <n v="0"/>
    <n v="252"/>
    <n v="0"/>
    <n v="0"/>
    <n v="0"/>
    <n v="399"/>
    <n v="0"/>
    <n v="0"/>
  </r>
  <r>
    <n v="988"/>
    <m/>
    <s v="Lady Imelda"/>
    <s v="Sea Vuna Fishing"/>
    <n v="2400479"/>
    <d v="2024-04-22T00:00:00"/>
    <x v="207"/>
    <n v="89"/>
    <n v="669"/>
    <n v="6493"/>
    <n v="0"/>
    <n v="18"/>
    <n v="0"/>
    <n v="0"/>
    <n v="0"/>
    <n v="0"/>
    <n v="0"/>
    <n v="132"/>
    <n v="0"/>
    <n v="0"/>
    <n v="0"/>
    <n v="378"/>
    <n v="2"/>
    <n v="0"/>
    <n v="0"/>
    <n v="0"/>
    <n v="0"/>
    <n v="0"/>
    <n v="0"/>
    <n v="1156"/>
    <n v="0"/>
    <n v="3"/>
    <n v="0"/>
    <n v="420"/>
    <n v="0"/>
    <n v="0"/>
  </r>
  <r>
    <n v="990"/>
    <m/>
    <s v="Lady Imelda"/>
    <s v="Sea Vuna Fishing"/>
    <n v="2400479"/>
    <d v="2024-04-16T00:00:00"/>
    <x v="212"/>
    <n v="103"/>
    <n v="90"/>
    <n v="7773"/>
    <n v="2"/>
    <n v="115"/>
    <n v="0"/>
    <n v="0"/>
    <n v="0"/>
    <n v="0"/>
    <n v="0"/>
    <n v="120"/>
    <n v="0"/>
    <n v="225"/>
    <n v="0"/>
    <n v="172"/>
    <n v="0"/>
    <n v="148"/>
    <n v="0"/>
    <n v="0"/>
    <n v="0"/>
    <n v="0"/>
    <n v="0"/>
    <n v="410"/>
    <n v="0"/>
    <n v="121"/>
    <n v="0"/>
    <n v="333"/>
    <n v="0"/>
    <n v="0"/>
  </r>
  <r>
    <n v="992"/>
    <m/>
    <s v="Lady Imelda"/>
    <s v="Sea Vuna Fishing"/>
    <n v="2400479"/>
    <d v="2024-04-12T00:00:00"/>
    <x v="213"/>
    <n v="112"/>
    <n v="236"/>
    <n v="6893"/>
    <n v="2"/>
    <n v="156"/>
    <n v="0"/>
    <n v="158"/>
    <n v="0"/>
    <n v="0"/>
    <n v="0"/>
    <n v="352"/>
    <n v="0"/>
    <n v="0"/>
    <n v="0"/>
    <n v="220"/>
    <n v="0"/>
    <n v="123"/>
    <n v="0"/>
    <n v="0"/>
    <n v="0"/>
    <n v="0"/>
    <n v="0"/>
    <n v="328"/>
    <n v="0"/>
    <n v="51"/>
    <n v="0"/>
    <n v="93"/>
    <n v="0"/>
    <n v="0"/>
  </r>
  <r>
    <n v="994"/>
    <m/>
    <s v="Teya-Nikka"/>
    <s v="Ulwandle Inshore (PTY) LTD"/>
    <n v="2402832"/>
    <d v="2024-05-05T00:00:00"/>
    <x v="214"/>
    <n v="2032"/>
    <n v="1"/>
    <n v="18283"/>
    <n v="110"/>
    <n v="631"/>
    <n v="29"/>
    <n v="0"/>
    <n v="0"/>
    <n v="0"/>
    <n v="0"/>
    <n v="0"/>
    <n v="0"/>
    <n v="0"/>
    <n v="0"/>
    <n v="1751"/>
    <n v="0"/>
    <n v="3633"/>
    <n v="0"/>
    <n v="0"/>
    <n v="0"/>
    <n v="0"/>
    <n v="0"/>
    <n v="404"/>
    <n v="0"/>
    <n v="162"/>
    <n v="0"/>
    <n v="32"/>
    <n v="19"/>
    <n v="0"/>
  </r>
  <r>
    <n v="997"/>
    <m/>
    <s v="Teya-Nikka"/>
    <s v="Ulwandle Inshore (PTY) LTD"/>
    <n v="2402832"/>
    <d v="2024-05-13T00:00:00"/>
    <x v="215"/>
    <n v="576"/>
    <n v="14"/>
    <n v="16497"/>
    <n v="367"/>
    <n v="125"/>
    <n v="10"/>
    <n v="0"/>
    <n v="0"/>
    <n v="0"/>
    <n v="0"/>
    <n v="0"/>
    <n v="0"/>
    <n v="0"/>
    <n v="0"/>
    <n v="1351"/>
    <n v="0"/>
    <n v="5217"/>
    <n v="0"/>
    <n v="0"/>
    <n v="0"/>
    <n v="0"/>
    <n v="0"/>
    <n v="512"/>
    <n v="0"/>
    <n v="90"/>
    <n v="0"/>
    <n v="95"/>
    <n v="0"/>
    <n v="0"/>
  </r>
  <r>
    <n v="1000"/>
    <m/>
    <s v="Teya-Nikka"/>
    <s v="Ulwandle Inshore (PTY) LTD"/>
    <n v="2402832"/>
    <d v="2024-05-20T00:00:00"/>
    <x v="202"/>
    <n v="381"/>
    <n v="50"/>
    <n v="16681"/>
    <n v="294"/>
    <n v="229"/>
    <n v="0"/>
    <n v="0"/>
    <n v="0"/>
    <n v="0"/>
    <n v="0"/>
    <n v="0"/>
    <n v="0"/>
    <n v="0"/>
    <n v="0"/>
    <n v="979"/>
    <n v="0"/>
    <n v="4829"/>
    <n v="0"/>
    <n v="0"/>
    <n v="0"/>
    <n v="0"/>
    <n v="0"/>
    <n v="375"/>
    <n v="0"/>
    <n v="28"/>
    <n v="0"/>
    <n v="13"/>
    <n v="136"/>
    <n v="0"/>
  </r>
  <r>
    <n v="1002"/>
    <m/>
    <s v="Teya-Nikka"/>
    <m/>
    <m/>
    <d v="2023-10-05T00:00:00"/>
    <x v="216"/>
    <m/>
    <m/>
    <m/>
    <m/>
    <n v="572"/>
    <m/>
    <m/>
    <m/>
    <m/>
    <m/>
    <n v="0"/>
    <n v="0"/>
    <n v="0"/>
    <n v="0"/>
    <n v="397"/>
    <n v="86"/>
    <n v="5954"/>
    <n v="0"/>
    <n v="0"/>
    <n v="0"/>
    <n v="0"/>
    <n v="0"/>
    <n v="1054"/>
    <n v="0"/>
    <n v="315"/>
    <n v="0"/>
    <n v="35"/>
    <n v="319"/>
    <n v="1"/>
  </r>
  <r>
    <n v="1005"/>
    <m/>
    <s v="Teya-Nikka"/>
    <s v="Ulwandle Inshore (PTY) LTD"/>
    <n v="2304729"/>
    <d v="2023-10-12T00:00:00"/>
    <x v="217"/>
    <n v="41"/>
    <n v="24"/>
    <n v="3560"/>
    <n v="86"/>
    <n v="238"/>
    <n v="0"/>
    <n v="0"/>
    <n v="0"/>
    <n v="0"/>
    <n v="0"/>
    <m/>
    <m/>
    <m/>
    <m/>
    <m/>
    <m/>
    <m/>
    <m/>
    <m/>
    <m/>
    <m/>
    <m/>
    <m/>
    <m/>
    <m/>
    <m/>
    <m/>
    <m/>
    <m/>
  </r>
  <r>
    <n v="1007"/>
    <m/>
    <s v="Teya-Nikka"/>
    <s v="Ulwandle Inshore (PTY) LTD"/>
    <n v="2304729"/>
    <d v="2023-10-18T00:00:00"/>
    <x v="141"/>
    <n v="278"/>
    <n v="111"/>
    <n v="5113"/>
    <n v="53"/>
    <n v="812"/>
    <n v="0"/>
    <n v="0"/>
    <n v="0"/>
    <n v="0"/>
    <n v="0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3CAA0-4B93-450B-9F00-683F38CD70C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P23" firstHeaderRow="0" firstDataRow="1" firstDataCol="1"/>
  <pivotFields count="38">
    <pivotField showAll="0"/>
    <pivotField showAll="0"/>
    <pivotField showAll="0"/>
    <pivotField showAll="0"/>
    <pivotField showAll="0"/>
    <pivotField numFmtId="164" showAll="0"/>
    <pivotField numFmtId="164" showAll="0">
      <items count="219">
        <item x="42"/>
        <item x="16"/>
        <item x="0"/>
        <item x="43"/>
        <item x="32"/>
        <item x="1"/>
        <item x="17"/>
        <item x="2"/>
        <item x="48"/>
        <item x="33"/>
        <item x="19"/>
        <item x="3"/>
        <item x="191"/>
        <item x="18"/>
        <item x="34"/>
        <item x="63"/>
        <item x="81"/>
        <item x="20"/>
        <item x="35"/>
        <item x="49"/>
        <item x="4"/>
        <item x="21"/>
        <item x="75"/>
        <item x="5"/>
        <item x="22"/>
        <item x="36"/>
        <item x="57"/>
        <item x="6"/>
        <item x="23"/>
        <item x="64"/>
        <item x="37"/>
        <item x="58"/>
        <item x="50"/>
        <item x="65"/>
        <item x="24"/>
        <item x="44"/>
        <item x="116"/>
        <item x="51"/>
        <item x="82"/>
        <item x="25"/>
        <item x="59"/>
        <item x="7"/>
        <item x="115"/>
        <item x="26"/>
        <item x="60"/>
        <item x="83"/>
        <item x="8"/>
        <item x="45"/>
        <item x="52"/>
        <item x="84"/>
        <item x="76"/>
        <item x="27"/>
        <item x="9"/>
        <item x="61"/>
        <item x="85"/>
        <item x="53"/>
        <item x="77"/>
        <item x="10"/>
        <item x="66"/>
        <item x="78"/>
        <item x="54"/>
        <item x="62"/>
        <item x="71"/>
        <item x="11"/>
        <item x="67"/>
        <item x="55"/>
        <item x="28"/>
        <item x="79"/>
        <item x="12"/>
        <item x="56"/>
        <item x="38"/>
        <item x="46"/>
        <item x="13"/>
        <item x="72"/>
        <item x="29"/>
        <item x="39"/>
        <item x="47"/>
        <item x="86"/>
        <item x="73"/>
        <item x="40"/>
        <item x="30"/>
        <item x="14"/>
        <item x="80"/>
        <item x="41"/>
        <item x="31"/>
        <item x="15"/>
        <item x="87"/>
        <item x="74"/>
        <item x="69"/>
        <item x="70"/>
        <item x="68"/>
        <item x="88"/>
        <item x="89"/>
        <item x="155"/>
        <item x="159"/>
        <item x="156"/>
        <item x="153"/>
        <item x="157"/>
        <item x="160"/>
        <item x="154"/>
        <item x="158"/>
        <item x="162"/>
        <item x="92"/>
        <item x="91"/>
        <item x="161"/>
        <item x="93"/>
        <item x="150"/>
        <item x="145"/>
        <item x="94"/>
        <item x="147"/>
        <item x="95"/>
        <item x="148"/>
        <item x="96"/>
        <item x="146"/>
        <item x="149"/>
        <item x="151"/>
        <item x="152"/>
        <item x="97"/>
        <item x="135"/>
        <item x="142"/>
        <item x="90"/>
        <item x="137"/>
        <item x="140"/>
        <item x="136"/>
        <item x="98"/>
        <item x="216"/>
        <item x="99"/>
        <item x="100"/>
        <item x="138"/>
        <item x="217"/>
        <item x="101"/>
        <item x="102"/>
        <item x="139"/>
        <item x="141"/>
        <item x="110"/>
        <item x="109"/>
        <item x="134"/>
        <item x="144"/>
        <item x="163"/>
        <item x="129"/>
        <item x="112"/>
        <item x="111"/>
        <item x="164"/>
        <item x="133"/>
        <item x="113"/>
        <item x="114"/>
        <item x="108"/>
        <item x="130"/>
        <item x="165"/>
        <item x="107"/>
        <item x="132"/>
        <item x="106"/>
        <item x="131"/>
        <item x="104"/>
        <item x="103"/>
        <item x="105"/>
        <item x="173"/>
        <item x="117"/>
        <item x="166"/>
        <item x="118"/>
        <item x="171"/>
        <item x="168"/>
        <item x="122"/>
        <item x="167"/>
        <item x="119"/>
        <item x="169"/>
        <item x="123"/>
        <item x="120"/>
        <item x="174"/>
        <item x="172"/>
        <item x="124"/>
        <item x="126"/>
        <item x="121"/>
        <item x="127"/>
        <item x="125"/>
        <item x="170"/>
        <item x="128"/>
        <item x="182"/>
        <item x="184"/>
        <item x="183"/>
        <item x="181"/>
        <item x="189"/>
        <item x="188"/>
        <item x="180"/>
        <item x="187"/>
        <item x="175"/>
        <item x="176"/>
        <item x="179"/>
        <item x="185"/>
        <item x="178"/>
        <item x="177"/>
        <item x="186"/>
        <item x="194"/>
        <item x="197"/>
        <item x="192"/>
        <item x="199"/>
        <item x="195"/>
        <item x="193"/>
        <item x="190"/>
        <item x="196"/>
        <item x="198"/>
        <item x="213"/>
        <item x="209"/>
        <item x="212"/>
        <item x="208"/>
        <item x="207"/>
        <item x="206"/>
        <item x="211"/>
        <item x="205"/>
        <item x="214"/>
        <item x="204"/>
        <item x="215"/>
        <item x="203"/>
        <item x="202"/>
        <item x="201"/>
        <item x="200"/>
        <item x="210"/>
        <item x="14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7"/>
    <field x="36"/>
  </rowFields>
  <rowItems count="2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Squid" fld="7" baseField="0" baseItem="0"/>
    <dataField name="Sum of East coast sole" fld="8" baseField="0" baseItem="0"/>
    <dataField name="Sum of Hake" fld="9" baseField="0" baseItem="0" numFmtId="1"/>
    <dataField name="Sum of Kingklip" fld="10" baseField="0" baseItem="0" numFmtId="1"/>
    <dataField name="Sum of Horse mackerel" fld="11" baseField="0" baseItem="0" numFmtId="1"/>
    <dataField name="Sum of Monk" fld="12" baseField="0" baseItem="0" numFmtId="1"/>
    <dataField name="Sum of Skate" fld="17" baseField="0" baseItem="0" numFmtId="1"/>
    <dataField name="Sum of Gurnard" fld="21" baseField="0" baseItem="0" numFmtId="1"/>
    <dataField name="Sum of Kabeljou" fld="22" baseField="0" baseItem="0" numFmtId="1"/>
    <dataField name="Sum of Panga" fld="23" baseField="0" baseItem="0" numFmtId="1"/>
    <dataField name="Sum of Vaalhaai" fld="25" baseField="0" baseItem="0" numFmtId="1"/>
    <dataField name="Sum of Mustelus" fld="27" baseField="0" baseItem="0" numFmtId="1"/>
    <dataField name="Sum of St Joseph" fld="29" baseField="0" baseItem="0" numFmtId="1"/>
    <dataField name="Sum of Carpenter" fld="31" baseField="0" baseItem="0" numFmtId="1"/>
    <dataField name="Sum of White stumpnose" fld="33" baseField="0" baseItem="0" numFmtId="1"/>
  </dataFields>
  <formats count="1">
    <format dxfId="0">
      <pivotArea outline="0" collapsedLevelsAreSubtotals="1" fieldPosition="0">
        <references count="1">
          <reference field="4294967294" count="1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" dT="2023-06-15T09:26:35.47" personId="{F9CCEF71-3F68-4EF5-ACB6-1B2862705AFD}" id="{0372DA15-E9F8-49BA-A2F9-136E382585BB}">
    <text>RF 2.59</text>
  </threadedComment>
  <threadedComment ref="AB1" dT="2023-06-15T09:26:51.44" personId="{F9CCEF71-3F68-4EF5-ACB6-1B2862705AFD}" id="{F7EC86C9-A42A-4A92-9EC4-71ABF539AD29}">
    <text>RF 2.59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3043-EA09-4346-A273-4E1120844754}">
  <dimension ref="A1:AO668"/>
  <sheetViews>
    <sheetView zoomScale="64" zoomScaleNormal="130" workbookViewId="0">
      <pane ySplit="1" topLeftCell="A420" activePane="bottomLeft" state="frozenSplit"/>
      <selection activeCell="AK1" sqref="AK1:AK1048576"/>
      <selection pane="bottomLeft" activeCell="F447" sqref="F447"/>
    </sheetView>
  </sheetViews>
  <sheetFormatPr defaultRowHeight="14.4" x14ac:dyDescent="0.3"/>
  <cols>
    <col min="1" max="1" width="12.88671875" customWidth="1"/>
    <col min="2" max="2" width="19.5546875" customWidth="1"/>
    <col min="3" max="3" width="12.88671875" customWidth="1"/>
    <col min="4" max="4" width="20.6640625" customWidth="1"/>
    <col min="5" max="5" width="12.88671875" customWidth="1"/>
    <col min="6" max="7" width="20.5546875" style="1" customWidth="1"/>
    <col min="14" max="14" width="8.88671875" customWidth="1"/>
  </cols>
  <sheetData>
    <row r="1" spans="1:41" x14ac:dyDescent="0.3">
      <c r="A1" t="s">
        <v>1</v>
      </c>
      <c r="B1" t="s">
        <v>34</v>
      </c>
      <c r="C1" t="s">
        <v>0</v>
      </c>
      <c r="D1" t="s">
        <v>6</v>
      </c>
      <c r="E1" t="s">
        <v>5</v>
      </c>
      <c r="F1" s="1" t="s">
        <v>2</v>
      </c>
      <c r="G1" s="1" t="s">
        <v>3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37</v>
      </c>
      <c r="Y1" t="s">
        <v>24</v>
      </c>
      <c r="Z1" t="s">
        <v>25</v>
      </c>
      <c r="AA1" t="s">
        <v>36</v>
      </c>
      <c r="AB1" t="s">
        <v>26</v>
      </c>
      <c r="AC1" t="s">
        <v>112</v>
      </c>
      <c r="AD1" t="s">
        <v>27</v>
      </c>
      <c r="AE1" t="s">
        <v>28</v>
      </c>
      <c r="AF1" t="s">
        <v>29</v>
      </c>
      <c r="AG1" t="s">
        <v>31</v>
      </c>
      <c r="AH1" t="s">
        <v>30</v>
      </c>
      <c r="AI1" t="s">
        <v>32</v>
      </c>
      <c r="AJ1" t="s">
        <v>33</v>
      </c>
      <c r="AK1" t="s">
        <v>69</v>
      </c>
      <c r="AO1" t="s">
        <v>113</v>
      </c>
    </row>
    <row r="2" spans="1:41" x14ac:dyDescent="0.3">
      <c r="A2">
        <v>2</v>
      </c>
      <c r="B2" t="s">
        <v>35</v>
      </c>
      <c r="C2" t="s">
        <v>4</v>
      </c>
      <c r="D2" t="s">
        <v>7</v>
      </c>
      <c r="E2">
        <v>2200198</v>
      </c>
      <c r="F2" s="1">
        <v>44925</v>
      </c>
      <c r="G2" s="1">
        <v>44931</v>
      </c>
      <c r="H2">
        <v>0</v>
      </c>
      <c r="I2">
        <v>0</v>
      </c>
      <c r="J2">
        <v>1602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 t="shared" ref="AK2:AK65" si="0">SUM(H2:AJ2)</f>
        <v>1602</v>
      </c>
    </row>
    <row r="3" spans="1:41" x14ac:dyDescent="0.3">
      <c r="A3">
        <v>2</v>
      </c>
      <c r="B3" t="s">
        <v>35</v>
      </c>
      <c r="C3" t="s">
        <v>4</v>
      </c>
      <c r="D3" t="s">
        <v>7</v>
      </c>
      <c r="E3">
        <v>2300464</v>
      </c>
      <c r="F3" s="1">
        <v>44925</v>
      </c>
      <c r="G3" s="1">
        <v>44931</v>
      </c>
      <c r="H3">
        <v>353</v>
      </c>
      <c r="I3">
        <v>86</v>
      </c>
      <c r="J3">
        <v>8453</v>
      </c>
      <c r="K3">
        <v>41</v>
      </c>
      <c r="L3">
        <v>602</v>
      </c>
      <c r="M3">
        <v>182</v>
      </c>
      <c r="N3">
        <v>0</v>
      </c>
      <c r="O3">
        <v>0</v>
      </c>
      <c r="P3">
        <v>0</v>
      </c>
      <c r="Q3">
        <v>0</v>
      </c>
      <c r="R3">
        <v>3182</v>
      </c>
      <c r="S3">
        <v>0</v>
      </c>
      <c r="T3">
        <v>0</v>
      </c>
      <c r="U3">
        <v>3</v>
      </c>
      <c r="V3">
        <v>988</v>
      </c>
      <c r="W3">
        <v>93</v>
      </c>
      <c r="X3">
        <v>20</v>
      </c>
      <c r="Y3">
        <v>0</v>
      </c>
      <c r="Z3">
        <v>2.59</v>
      </c>
      <c r="AA3">
        <v>0</v>
      </c>
      <c r="AB3">
        <f>21*2.59</f>
        <v>54.39</v>
      </c>
      <c r="AC3">
        <v>0</v>
      </c>
      <c r="AD3">
        <v>716</v>
      </c>
      <c r="AE3">
        <v>0</v>
      </c>
      <c r="AF3">
        <v>91</v>
      </c>
      <c r="AG3">
        <v>0</v>
      </c>
      <c r="AH3">
        <v>259</v>
      </c>
      <c r="AI3">
        <v>3</v>
      </c>
      <c r="AJ3">
        <v>0</v>
      </c>
      <c r="AK3">
        <f t="shared" si="0"/>
        <v>15128.98</v>
      </c>
    </row>
    <row r="4" spans="1:41" x14ac:dyDescent="0.3">
      <c r="A4">
        <v>5</v>
      </c>
      <c r="B4" t="s">
        <v>35</v>
      </c>
      <c r="C4" t="s">
        <v>4</v>
      </c>
      <c r="D4" t="s">
        <v>7</v>
      </c>
      <c r="E4">
        <v>2300464</v>
      </c>
      <c r="F4" s="1">
        <v>44932</v>
      </c>
      <c r="G4" s="1">
        <v>44939</v>
      </c>
      <c r="H4">
        <v>129</v>
      </c>
      <c r="I4">
        <v>15</v>
      </c>
      <c r="J4">
        <v>13839</v>
      </c>
      <c r="K4">
        <v>15</v>
      </c>
      <c r="L4">
        <v>170</v>
      </c>
      <c r="M4">
        <v>210</v>
      </c>
      <c r="N4">
        <v>0</v>
      </c>
      <c r="O4">
        <v>0</v>
      </c>
      <c r="P4">
        <v>0</v>
      </c>
      <c r="Q4">
        <v>0</v>
      </c>
      <c r="R4">
        <v>2084</v>
      </c>
      <c r="S4">
        <v>2</v>
      </c>
      <c r="T4">
        <v>0</v>
      </c>
      <c r="U4">
        <v>0</v>
      </c>
      <c r="V4">
        <v>848</v>
      </c>
      <c r="W4">
        <v>0</v>
      </c>
      <c r="X4">
        <v>81</v>
      </c>
      <c r="Y4">
        <v>0</v>
      </c>
      <c r="Z4">
        <v>0</v>
      </c>
      <c r="AA4">
        <v>0</v>
      </c>
      <c r="AB4">
        <v>8</v>
      </c>
      <c r="AC4">
        <v>0</v>
      </c>
      <c r="AD4">
        <v>50</v>
      </c>
      <c r="AE4">
        <v>0</v>
      </c>
      <c r="AF4">
        <v>33</v>
      </c>
      <c r="AG4">
        <v>0</v>
      </c>
      <c r="AH4">
        <v>4</v>
      </c>
      <c r="AI4">
        <v>0</v>
      </c>
      <c r="AJ4">
        <v>0</v>
      </c>
      <c r="AK4">
        <f t="shared" si="0"/>
        <v>17488</v>
      </c>
    </row>
    <row r="5" spans="1:41" x14ac:dyDescent="0.3">
      <c r="A5">
        <v>8</v>
      </c>
      <c r="B5" t="s">
        <v>35</v>
      </c>
      <c r="C5" t="s">
        <v>4</v>
      </c>
      <c r="D5" t="s">
        <v>7</v>
      </c>
      <c r="E5">
        <v>2300464</v>
      </c>
      <c r="F5" s="1">
        <v>44940</v>
      </c>
      <c r="G5" s="1">
        <v>44946</v>
      </c>
      <c r="H5">
        <v>232</v>
      </c>
      <c r="I5">
        <v>20</v>
      </c>
      <c r="J5">
        <v>13543</v>
      </c>
      <c r="K5">
        <v>29</v>
      </c>
      <c r="L5">
        <v>140</v>
      </c>
      <c r="M5">
        <v>141</v>
      </c>
      <c r="N5">
        <v>0</v>
      </c>
      <c r="O5">
        <v>0</v>
      </c>
      <c r="P5">
        <v>0</v>
      </c>
      <c r="Q5">
        <v>0</v>
      </c>
      <c r="R5">
        <v>588</v>
      </c>
      <c r="S5">
        <v>0</v>
      </c>
      <c r="T5">
        <v>0</v>
      </c>
      <c r="U5">
        <v>0</v>
      </c>
      <c r="V5">
        <v>1133</v>
      </c>
      <c r="W5">
        <v>69</v>
      </c>
      <c r="X5">
        <v>99</v>
      </c>
      <c r="Y5">
        <v>0</v>
      </c>
      <c r="Z5">
        <v>0</v>
      </c>
      <c r="AA5">
        <v>0</v>
      </c>
      <c r="AB5">
        <v>0</v>
      </c>
      <c r="AC5">
        <v>0</v>
      </c>
      <c r="AD5">
        <v>678</v>
      </c>
      <c r="AE5">
        <v>0</v>
      </c>
      <c r="AF5">
        <v>12</v>
      </c>
      <c r="AG5">
        <v>0</v>
      </c>
      <c r="AH5">
        <v>165</v>
      </c>
      <c r="AI5">
        <v>2</v>
      </c>
      <c r="AJ5">
        <v>0</v>
      </c>
      <c r="AK5">
        <f t="shared" si="0"/>
        <v>16851</v>
      </c>
    </row>
    <row r="6" spans="1:41" x14ac:dyDescent="0.3">
      <c r="A6">
        <v>11</v>
      </c>
      <c r="B6" t="s">
        <v>35</v>
      </c>
      <c r="C6" t="s">
        <v>4</v>
      </c>
      <c r="D6" t="s">
        <v>7</v>
      </c>
      <c r="E6">
        <v>2300464</v>
      </c>
      <c r="F6" s="1">
        <v>44947</v>
      </c>
      <c r="G6" s="1">
        <v>44953</v>
      </c>
      <c r="H6">
        <v>141</v>
      </c>
      <c r="I6">
        <v>13</v>
      </c>
      <c r="J6">
        <v>12522</v>
      </c>
      <c r="K6">
        <v>12</v>
      </c>
      <c r="L6">
        <v>337</v>
      </c>
      <c r="M6">
        <v>299</v>
      </c>
      <c r="N6">
        <v>0</v>
      </c>
      <c r="O6">
        <v>3</v>
      </c>
      <c r="P6">
        <v>0</v>
      </c>
      <c r="Q6">
        <v>0</v>
      </c>
      <c r="R6">
        <v>812</v>
      </c>
      <c r="S6">
        <v>0</v>
      </c>
      <c r="T6">
        <v>0</v>
      </c>
      <c r="U6">
        <v>0</v>
      </c>
      <c r="V6">
        <v>1187</v>
      </c>
      <c r="W6">
        <v>12</v>
      </c>
      <c r="X6">
        <v>117</v>
      </c>
      <c r="Y6">
        <v>0</v>
      </c>
      <c r="Z6">
        <v>0</v>
      </c>
      <c r="AA6">
        <v>0</v>
      </c>
      <c r="AB6">
        <v>0</v>
      </c>
      <c r="AC6">
        <v>0</v>
      </c>
      <c r="AD6">
        <v>66</v>
      </c>
      <c r="AE6">
        <v>0</v>
      </c>
      <c r="AF6">
        <v>27</v>
      </c>
      <c r="AG6">
        <v>0</v>
      </c>
      <c r="AH6">
        <v>3</v>
      </c>
      <c r="AI6">
        <v>0</v>
      </c>
      <c r="AJ6">
        <v>0</v>
      </c>
      <c r="AK6">
        <f t="shared" si="0"/>
        <v>15551</v>
      </c>
    </row>
    <row r="7" spans="1:41" x14ac:dyDescent="0.3">
      <c r="A7">
        <v>14</v>
      </c>
      <c r="B7" t="s">
        <v>35</v>
      </c>
      <c r="C7" t="s">
        <v>4</v>
      </c>
      <c r="D7" t="s">
        <v>7</v>
      </c>
      <c r="E7">
        <v>2300464</v>
      </c>
      <c r="F7" s="1">
        <v>44958</v>
      </c>
      <c r="G7" s="1">
        <v>44966</v>
      </c>
      <c r="H7">
        <v>74</v>
      </c>
      <c r="I7">
        <v>82</v>
      </c>
      <c r="J7">
        <v>5703</v>
      </c>
      <c r="K7">
        <v>126</v>
      </c>
      <c r="L7">
        <v>405</v>
      </c>
      <c r="M7">
        <v>630</v>
      </c>
      <c r="N7">
        <v>0</v>
      </c>
      <c r="O7">
        <v>3</v>
      </c>
      <c r="P7">
        <v>0</v>
      </c>
      <c r="Q7">
        <v>0</v>
      </c>
      <c r="R7">
        <v>1632</v>
      </c>
      <c r="S7">
        <v>0</v>
      </c>
      <c r="T7">
        <v>0</v>
      </c>
      <c r="U7">
        <v>0</v>
      </c>
      <c r="V7">
        <v>1606</v>
      </c>
      <c r="W7">
        <v>45</v>
      </c>
      <c r="X7">
        <v>2226</v>
      </c>
      <c r="Y7">
        <v>0</v>
      </c>
      <c r="Z7">
        <v>0</v>
      </c>
      <c r="AA7">
        <v>0</v>
      </c>
      <c r="AB7">
        <f>1*2.59</f>
        <v>2.59</v>
      </c>
      <c r="AC7">
        <v>0</v>
      </c>
      <c r="AD7">
        <v>362</v>
      </c>
      <c r="AE7">
        <v>0</v>
      </c>
      <c r="AF7">
        <v>23</v>
      </c>
      <c r="AG7">
        <v>0</v>
      </c>
      <c r="AH7">
        <v>303</v>
      </c>
      <c r="AI7">
        <v>4</v>
      </c>
      <c r="AJ7">
        <v>0</v>
      </c>
      <c r="AK7">
        <f t="shared" si="0"/>
        <v>13226.59</v>
      </c>
    </row>
    <row r="8" spans="1:41" x14ac:dyDescent="0.3">
      <c r="A8">
        <v>17</v>
      </c>
      <c r="B8" t="s">
        <v>35</v>
      </c>
      <c r="C8" t="s">
        <v>4</v>
      </c>
      <c r="D8" t="s">
        <v>7</v>
      </c>
      <c r="E8">
        <v>2300464</v>
      </c>
      <c r="F8" s="1">
        <v>44967</v>
      </c>
      <c r="G8" s="1">
        <v>44974</v>
      </c>
      <c r="H8">
        <v>36</v>
      </c>
      <c r="I8">
        <v>160</v>
      </c>
      <c r="J8">
        <v>3574</v>
      </c>
      <c r="K8">
        <v>15</v>
      </c>
      <c r="L8">
        <v>8</v>
      </c>
      <c r="M8">
        <v>0</v>
      </c>
      <c r="N8">
        <v>0</v>
      </c>
      <c r="O8">
        <v>3</v>
      </c>
      <c r="P8">
        <v>0</v>
      </c>
      <c r="Q8">
        <v>0</v>
      </c>
      <c r="R8">
        <v>240</v>
      </c>
      <c r="S8">
        <v>0</v>
      </c>
      <c r="T8">
        <v>0</v>
      </c>
      <c r="U8">
        <v>0</v>
      </c>
      <c r="V8">
        <v>3783</v>
      </c>
      <c r="W8">
        <v>8</v>
      </c>
      <c r="X8">
        <v>512</v>
      </c>
      <c r="Y8">
        <v>0</v>
      </c>
      <c r="Z8">
        <v>2.59</v>
      </c>
      <c r="AA8">
        <v>0</v>
      </c>
      <c r="AB8">
        <f>11*2.59</f>
        <v>28.49</v>
      </c>
      <c r="AC8">
        <v>0</v>
      </c>
      <c r="AD8">
        <v>1250</v>
      </c>
      <c r="AE8">
        <v>0</v>
      </c>
      <c r="AF8">
        <v>18</v>
      </c>
      <c r="AG8">
        <v>0</v>
      </c>
      <c r="AH8">
        <v>522</v>
      </c>
      <c r="AI8">
        <v>1</v>
      </c>
      <c r="AJ8">
        <v>0</v>
      </c>
      <c r="AK8">
        <f t="shared" si="0"/>
        <v>10161.08</v>
      </c>
    </row>
    <row r="9" spans="1:41" x14ac:dyDescent="0.3">
      <c r="A9">
        <v>19</v>
      </c>
      <c r="B9" t="s">
        <v>35</v>
      </c>
      <c r="C9" t="s">
        <v>4</v>
      </c>
      <c r="D9" t="s">
        <v>38</v>
      </c>
      <c r="E9">
        <v>2302471</v>
      </c>
      <c r="F9" s="1">
        <v>44975</v>
      </c>
      <c r="G9" s="1">
        <v>44984</v>
      </c>
      <c r="H9">
        <v>106</v>
      </c>
      <c r="I9">
        <v>35</v>
      </c>
      <c r="J9">
        <v>6122</v>
      </c>
      <c r="K9">
        <v>81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1032</v>
      </c>
      <c r="S9">
        <v>0</v>
      </c>
      <c r="T9">
        <v>0</v>
      </c>
      <c r="U9">
        <v>0</v>
      </c>
      <c r="V9">
        <v>907</v>
      </c>
      <c r="W9">
        <v>72</v>
      </c>
      <c r="X9">
        <v>1072</v>
      </c>
      <c r="Y9">
        <v>0</v>
      </c>
      <c r="Z9">
        <f>6*2.59</f>
        <v>15.54</v>
      </c>
      <c r="AA9">
        <v>0</v>
      </c>
      <c r="AB9">
        <f>105*2.59</f>
        <v>271.95</v>
      </c>
      <c r="AC9">
        <v>0</v>
      </c>
      <c r="AD9">
        <v>112</v>
      </c>
      <c r="AE9">
        <v>0</v>
      </c>
      <c r="AF9">
        <v>43</v>
      </c>
      <c r="AG9">
        <v>0</v>
      </c>
      <c r="AH9">
        <v>5</v>
      </c>
      <c r="AI9">
        <v>2</v>
      </c>
      <c r="AJ9">
        <v>0</v>
      </c>
      <c r="AK9">
        <f t="shared" si="0"/>
        <v>9978.4900000000016</v>
      </c>
    </row>
    <row r="10" spans="1:41" x14ac:dyDescent="0.3">
      <c r="A10">
        <v>22</v>
      </c>
      <c r="B10" t="s">
        <v>35</v>
      </c>
      <c r="C10" t="s">
        <v>4</v>
      </c>
      <c r="D10" t="s">
        <v>38</v>
      </c>
      <c r="E10">
        <v>2302471</v>
      </c>
      <c r="F10" s="1">
        <v>44998</v>
      </c>
      <c r="G10" s="1">
        <v>45005</v>
      </c>
      <c r="H10">
        <v>24</v>
      </c>
      <c r="I10">
        <v>102</v>
      </c>
      <c r="J10">
        <v>4457</v>
      </c>
      <c r="K10">
        <v>0</v>
      </c>
      <c r="L10">
        <v>4</v>
      </c>
      <c r="M10">
        <v>89</v>
      </c>
      <c r="N10">
        <v>0</v>
      </c>
      <c r="O10">
        <v>0</v>
      </c>
      <c r="P10">
        <v>0</v>
      </c>
      <c r="Q10">
        <v>0</v>
      </c>
      <c r="R10">
        <v>780</v>
      </c>
      <c r="S10">
        <v>0</v>
      </c>
      <c r="T10">
        <v>0</v>
      </c>
      <c r="U10">
        <v>3</v>
      </c>
      <c r="V10">
        <v>869</v>
      </c>
      <c r="W10">
        <v>5</v>
      </c>
      <c r="X10">
        <v>64</v>
      </c>
      <c r="Y10">
        <v>0</v>
      </c>
      <c r="Z10">
        <v>2.59</v>
      </c>
      <c r="AA10">
        <v>0</v>
      </c>
      <c r="AB10">
        <f>9*2.59</f>
        <v>23.31</v>
      </c>
      <c r="AC10">
        <v>0</v>
      </c>
      <c r="AD10">
        <v>1112</v>
      </c>
      <c r="AE10">
        <v>0</v>
      </c>
      <c r="AF10">
        <v>33</v>
      </c>
      <c r="AG10">
        <v>0</v>
      </c>
      <c r="AH10">
        <v>421</v>
      </c>
      <c r="AI10">
        <v>2</v>
      </c>
      <c r="AJ10">
        <v>0</v>
      </c>
      <c r="AK10">
        <f t="shared" si="0"/>
        <v>7990.9000000000005</v>
      </c>
    </row>
    <row r="11" spans="1:41" x14ac:dyDescent="0.3">
      <c r="A11">
        <v>25</v>
      </c>
      <c r="B11" t="s">
        <v>35</v>
      </c>
      <c r="C11" t="s">
        <v>4</v>
      </c>
      <c r="D11" t="s">
        <v>38</v>
      </c>
      <c r="E11">
        <v>2302471</v>
      </c>
      <c r="F11" s="1">
        <v>45013</v>
      </c>
      <c r="G11" s="1">
        <v>45018</v>
      </c>
      <c r="H11">
        <v>8</v>
      </c>
      <c r="I11">
        <v>239</v>
      </c>
      <c r="J11">
        <v>7582</v>
      </c>
      <c r="K11">
        <v>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600</v>
      </c>
      <c r="S11">
        <v>0</v>
      </c>
      <c r="T11">
        <v>0</v>
      </c>
      <c r="U11">
        <v>0</v>
      </c>
      <c r="V11">
        <v>1064</v>
      </c>
      <c r="W11">
        <v>10</v>
      </c>
      <c r="X11">
        <v>138</v>
      </c>
      <c r="Y11">
        <v>0</v>
      </c>
      <c r="Z11">
        <v>2.59</v>
      </c>
      <c r="AA11">
        <v>0</v>
      </c>
      <c r="AB11">
        <f>25*2.59</f>
        <v>64.75</v>
      </c>
      <c r="AC11">
        <v>0</v>
      </c>
      <c r="AD11">
        <v>1014</v>
      </c>
      <c r="AE11">
        <v>0</v>
      </c>
      <c r="AF11">
        <v>262</v>
      </c>
      <c r="AG11">
        <v>0</v>
      </c>
      <c r="AH11">
        <v>519</v>
      </c>
      <c r="AI11">
        <v>10</v>
      </c>
      <c r="AJ11">
        <v>0</v>
      </c>
      <c r="AK11">
        <f t="shared" si="0"/>
        <v>11522.34</v>
      </c>
    </row>
    <row r="12" spans="1:41" x14ac:dyDescent="0.3">
      <c r="A12">
        <v>28</v>
      </c>
      <c r="B12" t="s">
        <v>35</v>
      </c>
      <c r="C12" t="s">
        <v>4</v>
      </c>
      <c r="D12" t="s">
        <v>38</v>
      </c>
      <c r="E12">
        <v>2302471</v>
      </c>
      <c r="F12" s="1">
        <v>45018</v>
      </c>
      <c r="G12" s="1">
        <v>45027</v>
      </c>
      <c r="H12">
        <v>128</v>
      </c>
      <c r="I12">
        <v>46</v>
      </c>
      <c r="J12">
        <v>8595</v>
      </c>
      <c r="K12">
        <v>40</v>
      </c>
      <c r="L12">
        <v>304</v>
      </c>
      <c r="M12">
        <v>1049</v>
      </c>
      <c r="N12">
        <v>0</v>
      </c>
      <c r="O12">
        <v>4</v>
      </c>
      <c r="P12">
        <v>0</v>
      </c>
      <c r="Q12">
        <v>0</v>
      </c>
      <c r="R12">
        <v>3240</v>
      </c>
      <c r="S12">
        <v>0</v>
      </c>
      <c r="T12">
        <v>0</v>
      </c>
      <c r="U12">
        <v>0</v>
      </c>
      <c r="V12">
        <v>1631</v>
      </c>
      <c r="W12">
        <v>7</v>
      </c>
      <c r="X12">
        <v>562</v>
      </c>
      <c r="Y12">
        <v>0</v>
      </c>
      <c r="Z12">
        <v>0</v>
      </c>
      <c r="AA12">
        <v>0</v>
      </c>
      <c r="AB12">
        <f>4*2.59</f>
        <v>10.36</v>
      </c>
      <c r="AC12">
        <v>0</v>
      </c>
      <c r="AD12">
        <v>594</v>
      </c>
      <c r="AE12">
        <v>0</v>
      </c>
      <c r="AF12">
        <v>121</v>
      </c>
      <c r="AG12">
        <v>0</v>
      </c>
      <c r="AH12">
        <v>486</v>
      </c>
      <c r="AI12">
        <v>8</v>
      </c>
      <c r="AJ12">
        <v>0</v>
      </c>
      <c r="AK12">
        <f t="shared" si="0"/>
        <v>16825.36</v>
      </c>
    </row>
    <row r="13" spans="1:41" x14ac:dyDescent="0.3">
      <c r="A13">
        <v>31</v>
      </c>
      <c r="B13" t="s">
        <v>35</v>
      </c>
      <c r="C13" t="s">
        <v>4</v>
      </c>
      <c r="D13" t="s">
        <v>38</v>
      </c>
      <c r="E13">
        <v>2302471</v>
      </c>
      <c r="F13" s="1">
        <v>45027</v>
      </c>
      <c r="G13" s="1">
        <v>45033</v>
      </c>
      <c r="H13">
        <v>18</v>
      </c>
      <c r="I13">
        <v>183</v>
      </c>
      <c r="J13">
        <v>10949</v>
      </c>
      <c r="K13">
        <v>12</v>
      </c>
      <c r="L13">
        <v>21</v>
      </c>
      <c r="M13">
        <v>0</v>
      </c>
      <c r="N13">
        <v>0</v>
      </c>
      <c r="O13">
        <v>0</v>
      </c>
      <c r="P13">
        <v>0</v>
      </c>
      <c r="Q13">
        <v>0</v>
      </c>
      <c r="R13">
        <v>716</v>
      </c>
      <c r="S13">
        <v>0</v>
      </c>
      <c r="T13">
        <v>0</v>
      </c>
      <c r="U13">
        <v>0</v>
      </c>
      <c r="V13">
        <v>1266</v>
      </c>
      <c r="W13">
        <v>48</v>
      </c>
      <c r="X13">
        <v>838</v>
      </c>
      <c r="Y13">
        <v>0</v>
      </c>
      <c r="Z13">
        <v>2.59</v>
      </c>
      <c r="AA13">
        <v>0</v>
      </c>
      <c r="AB13">
        <f>18*2.59</f>
        <v>46.62</v>
      </c>
      <c r="AC13">
        <v>0</v>
      </c>
      <c r="AD13">
        <v>1060</v>
      </c>
      <c r="AE13">
        <v>0</v>
      </c>
      <c r="AF13">
        <v>55</v>
      </c>
      <c r="AG13">
        <v>0</v>
      </c>
      <c r="AH13">
        <v>430</v>
      </c>
      <c r="AI13">
        <v>2</v>
      </c>
      <c r="AJ13">
        <v>0</v>
      </c>
      <c r="AK13">
        <f t="shared" si="0"/>
        <v>15647.210000000001</v>
      </c>
    </row>
    <row r="14" spans="1:41" x14ac:dyDescent="0.3">
      <c r="A14">
        <v>34</v>
      </c>
      <c r="B14" t="s">
        <v>35</v>
      </c>
      <c r="C14" t="s">
        <v>4</v>
      </c>
      <c r="D14" t="s">
        <v>38</v>
      </c>
      <c r="E14">
        <v>2302471</v>
      </c>
      <c r="F14" s="1">
        <v>45034</v>
      </c>
      <c r="G14" s="1">
        <v>45040</v>
      </c>
      <c r="H14">
        <v>68</v>
      </c>
      <c r="I14">
        <v>143</v>
      </c>
      <c r="J14">
        <v>10217</v>
      </c>
      <c r="K14">
        <v>9</v>
      </c>
      <c r="L14">
        <v>129</v>
      </c>
      <c r="M14">
        <v>3</v>
      </c>
      <c r="N14">
        <v>0</v>
      </c>
      <c r="O14">
        <v>0</v>
      </c>
      <c r="P14">
        <v>0</v>
      </c>
      <c r="Q14">
        <v>0</v>
      </c>
      <c r="R14">
        <v>872</v>
      </c>
      <c r="S14">
        <v>0</v>
      </c>
      <c r="T14">
        <v>0</v>
      </c>
      <c r="U14">
        <v>0</v>
      </c>
      <c r="V14">
        <v>1464</v>
      </c>
      <c r="W14">
        <v>1</v>
      </c>
      <c r="X14">
        <v>1186</v>
      </c>
      <c r="Y14">
        <v>0</v>
      </c>
      <c r="Z14">
        <f>2*2.59</f>
        <v>5.18</v>
      </c>
      <c r="AA14">
        <v>0</v>
      </c>
      <c r="AB14">
        <f>29*2.59</f>
        <v>75.11</v>
      </c>
      <c r="AC14">
        <v>0</v>
      </c>
      <c r="AD14">
        <v>630</v>
      </c>
      <c r="AE14">
        <v>0</v>
      </c>
      <c r="AF14">
        <v>178</v>
      </c>
      <c r="AG14">
        <v>0</v>
      </c>
      <c r="AH14">
        <v>412</v>
      </c>
      <c r="AI14">
        <v>0</v>
      </c>
      <c r="AJ14">
        <v>0</v>
      </c>
      <c r="AK14">
        <f t="shared" si="0"/>
        <v>15392.29</v>
      </c>
    </row>
    <row r="15" spans="1:41" x14ac:dyDescent="0.3">
      <c r="A15">
        <v>37</v>
      </c>
      <c r="B15" t="s">
        <v>35</v>
      </c>
      <c r="C15" t="s">
        <v>4</v>
      </c>
      <c r="D15" t="s">
        <v>38</v>
      </c>
      <c r="E15">
        <v>2302471</v>
      </c>
      <c r="F15" s="1">
        <v>45041</v>
      </c>
      <c r="G15" s="1">
        <v>45050</v>
      </c>
      <c r="H15">
        <v>181</v>
      </c>
      <c r="I15">
        <v>89</v>
      </c>
      <c r="J15">
        <v>5752</v>
      </c>
      <c r="K15">
        <v>18</v>
      </c>
      <c r="L15">
        <v>38</v>
      </c>
      <c r="M15">
        <v>3</v>
      </c>
      <c r="N15">
        <v>0</v>
      </c>
      <c r="O15">
        <v>0</v>
      </c>
      <c r="P15">
        <v>0</v>
      </c>
      <c r="Q15">
        <v>0</v>
      </c>
      <c r="R15">
        <v>832</v>
      </c>
      <c r="S15">
        <v>0</v>
      </c>
      <c r="T15">
        <v>0</v>
      </c>
      <c r="U15">
        <v>0</v>
      </c>
      <c r="V15">
        <v>1674</v>
      </c>
      <c r="W15">
        <v>21</v>
      </c>
      <c r="X15">
        <v>1571</v>
      </c>
      <c r="Y15">
        <v>0</v>
      </c>
      <c r="Z15">
        <v>2.59</v>
      </c>
      <c r="AA15">
        <v>0</v>
      </c>
      <c r="AB15">
        <f>18*2.59</f>
        <v>46.62</v>
      </c>
      <c r="AC15">
        <v>0</v>
      </c>
      <c r="AD15">
        <v>946</v>
      </c>
      <c r="AE15">
        <v>0</v>
      </c>
      <c r="AF15">
        <v>105</v>
      </c>
      <c r="AG15">
        <v>0</v>
      </c>
      <c r="AH15">
        <v>300</v>
      </c>
      <c r="AI15">
        <v>0</v>
      </c>
      <c r="AJ15">
        <v>0</v>
      </c>
      <c r="AK15">
        <f t="shared" si="0"/>
        <v>11579.210000000001</v>
      </c>
    </row>
    <row r="16" spans="1:41" x14ac:dyDescent="0.3">
      <c r="A16">
        <v>40</v>
      </c>
      <c r="B16" t="s">
        <v>35</v>
      </c>
      <c r="C16" t="s">
        <v>4</v>
      </c>
      <c r="D16" t="s">
        <v>38</v>
      </c>
      <c r="E16">
        <v>2302471</v>
      </c>
      <c r="F16" s="1">
        <v>45050</v>
      </c>
      <c r="G16" s="1">
        <v>45056</v>
      </c>
      <c r="H16">
        <v>143</v>
      </c>
      <c r="I16">
        <v>316</v>
      </c>
      <c r="J16">
        <v>9595</v>
      </c>
      <c r="K16">
        <v>17</v>
      </c>
      <c r="L16">
        <v>253</v>
      </c>
      <c r="M16">
        <v>120</v>
      </c>
      <c r="N16">
        <v>2</v>
      </c>
      <c r="O16">
        <v>0</v>
      </c>
      <c r="P16">
        <v>0</v>
      </c>
      <c r="Q16">
        <v>0</v>
      </c>
      <c r="R16">
        <v>1080</v>
      </c>
      <c r="S16">
        <v>0</v>
      </c>
      <c r="T16">
        <v>0</v>
      </c>
      <c r="U16">
        <v>0</v>
      </c>
      <c r="V16">
        <v>780</v>
      </c>
      <c r="W16">
        <v>120</v>
      </c>
      <c r="X16">
        <v>496</v>
      </c>
      <c r="Y16">
        <v>0</v>
      </c>
      <c r="Z16">
        <v>2.59</v>
      </c>
      <c r="AA16">
        <v>0</v>
      </c>
      <c r="AB16">
        <f>28*2.59</f>
        <v>72.52</v>
      </c>
      <c r="AC16">
        <v>0</v>
      </c>
      <c r="AD16">
        <v>412</v>
      </c>
      <c r="AE16">
        <v>0</v>
      </c>
      <c r="AF16">
        <v>61</v>
      </c>
      <c r="AG16">
        <v>0</v>
      </c>
      <c r="AH16">
        <v>70</v>
      </c>
      <c r="AI16">
        <v>3</v>
      </c>
      <c r="AJ16">
        <v>0</v>
      </c>
      <c r="AK16">
        <f t="shared" si="0"/>
        <v>13543.11</v>
      </c>
    </row>
    <row r="17" spans="1:37" x14ac:dyDescent="0.3">
      <c r="A17">
        <v>43</v>
      </c>
      <c r="B17" t="s">
        <v>35</v>
      </c>
      <c r="C17" t="s">
        <v>4</v>
      </c>
      <c r="D17" t="s">
        <v>38</v>
      </c>
      <c r="E17">
        <v>2302471</v>
      </c>
      <c r="F17" s="1">
        <v>45062</v>
      </c>
      <c r="G17" s="1">
        <v>45070</v>
      </c>
      <c r="H17">
        <v>2</v>
      </c>
      <c r="I17">
        <v>67</v>
      </c>
      <c r="J17">
        <v>3251</v>
      </c>
      <c r="K17">
        <v>35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812</v>
      </c>
      <c r="S17">
        <v>0</v>
      </c>
      <c r="T17">
        <v>0</v>
      </c>
      <c r="U17">
        <v>0</v>
      </c>
      <c r="V17">
        <v>232</v>
      </c>
      <c r="W17">
        <v>84</v>
      </c>
      <c r="X17">
        <v>154</v>
      </c>
      <c r="Y17">
        <v>0</v>
      </c>
      <c r="Z17">
        <v>2.59</v>
      </c>
      <c r="AA17">
        <v>0</v>
      </c>
      <c r="AB17">
        <f>25*2.59</f>
        <v>64.75</v>
      </c>
      <c r="AC17">
        <v>0</v>
      </c>
      <c r="AD17">
        <v>1034</v>
      </c>
      <c r="AE17">
        <v>0</v>
      </c>
      <c r="AF17">
        <v>55</v>
      </c>
      <c r="AG17">
        <v>0</v>
      </c>
      <c r="AH17">
        <v>109</v>
      </c>
      <c r="AI17">
        <v>30</v>
      </c>
      <c r="AJ17">
        <v>0</v>
      </c>
      <c r="AK17">
        <f t="shared" si="0"/>
        <v>5934.34</v>
      </c>
    </row>
    <row r="18" spans="1:37" x14ac:dyDescent="0.3">
      <c r="A18">
        <v>46</v>
      </c>
      <c r="B18" t="s">
        <v>35</v>
      </c>
      <c r="C18" t="s">
        <v>4</v>
      </c>
      <c r="D18" t="s">
        <v>38</v>
      </c>
      <c r="E18">
        <v>2302471</v>
      </c>
      <c r="F18" s="1">
        <v>45070</v>
      </c>
      <c r="G18" s="1">
        <v>45077</v>
      </c>
      <c r="H18">
        <v>20</v>
      </c>
      <c r="I18">
        <v>46</v>
      </c>
      <c r="J18">
        <v>5081</v>
      </c>
      <c r="K18">
        <v>9</v>
      </c>
      <c r="L18">
        <v>27</v>
      </c>
      <c r="M18">
        <v>0</v>
      </c>
      <c r="N18">
        <v>0</v>
      </c>
      <c r="O18">
        <v>0</v>
      </c>
      <c r="P18">
        <v>0</v>
      </c>
      <c r="Q18">
        <v>0</v>
      </c>
      <c r="R18">
        <v>684</v>
      </c>
      <c r="S18">
        <v>0</v>
      </c>
      <c r="T18">
        <v>0</v>
      </c>
      <c r="U18">
        <v>0</v>
      </c>
      <c r="V18">
        <v>259</v>
      </c>
      <c r="W18">
        <v>59</v>
      </c>
      <c r="X18">
        <v>232</v>
      </c>
      <c r="Y18">
        <v>0</v>
      </c>
      <c r="Z18">
        <f>2*2.59</f>
        <v>5.18</v>
      </c>
      <c r="AA18">
        <v>0</v>
      </c>
      <c r="AB18">
        <f>28*2.59</f>
        <v>72.52</v>
      </c>
      <c r="AC18">
        <v>0</v>
      </c>
      <c r="AD18">
        <v>522</v>
      </c>
      <c r="AE18">
        <v>0</v>
      </c>
      <c r="AF18">
        <v>397</v>
      </c>
      <c r="AG18">
        <v>0</v>
      </c>
      <c r="AH18">
        <v>280</v>
      </c>
      <c r="AI18">
        <v>24</v>
      </c>
      <c r="AJ18">
        <v>0</v>
      </c>
      <c r="AK18">
        <f t="shared" si="0"/>
        <v>7717.7000000000007</v>
      </c>
    </row>
    <row r="19" spans="1:37" x14ac:dyDescent="0.3">
      <c r="A19">
        <v>49</v>
      </c>
      <c r="B19" t="s">
        <v>46</v>
      </c>
      <c r="C19" t="s">
        <v>39</v>
      </c>
      <c r="D19" t="s">
        <v>7</v>
      </c>
      <c r="E19">
        <v>2200200</v>
      </c>
      <c r="F19" s="1">
        <v>44924</v>
      </c>
      <c r="G19" s="1">
        <v>44930</v>
      </c>
      <c r="H19">
        <v>0</v>
      </c>
      <c r="I19">
        <v>0</v>
      </c>
      <c r="J19">
        <v>10184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f t="shared" si="0"/>
        <v>10184</v>
      </c>
    </row>
    <row r="20" spans="1:37" x14ac:dyDescent="0.3">
      <c r="A20">
        <v>49</v>
      </c>
      <c r="B20" t="s">
        <v>46</v>
      </c>
      <c r="C20" t="s">
        <v>39</v>
      </c>
      <c r="D20" t="s">
        <v>40</v>
      </c>
      <c r="E20">
        <v>2207317</v>
      </c>
      <c r="F20" s="1">
        <v>44924</v>
      </c>
      <c r="G20" s="1">
        <v>44930</v>
      </c>
      <c r="H20">
        <v>405</v>
      </c>
      <c r="I20">
        <v>21</v>
      </c>
      <c r="J20">
        <v>6091</v>
      </c>
      <c r="K20">
        <v>5</v>
      </c>
      <c r="L20">
        <v>1247</v>
      </c>
      <c r="M20">
        <v>320</v>
      </c>
      <c r="N20">
        <v>0</v>
      </c>
      <c r="O20">
        <v>10</v>
      </c>
      <c r="P20">
        <v>0</v>
      </c>
      <c r="Q20">
        <v>0</v>
      </c>
      <c r="R20">
        <v>2652</v>
      </c>
      <c r="S20">
        <v>0</v>
      </c>
      <c r="T20">
        <v>0</v>
      </c>
      <c r="U20">
        <v>0</v>
      </c>
      <c r="V20">
        <v>757</v>
      </c>
      <c r="W20">
        <v>128</v>
      </c>
      <c r="X20">
        <v>85</v>
      </c>
      <c r="Y20">
        <v>0</v>
      </c>
      <c r="Z20">
        <f>4*2.59</f>
        <v>10.36</v>
      </c>
      <c r="AA20">
        <v>0</v>
      </c>
      <c r="AB20">
        <f>72*2.59</f>
        <v>186.48</v>
      </c>
      <c r="AC20">
        <v>0</v>
      </c>
      <c r="AD20">
        <v>1080</v>
      </c>
      <c r="AE20">
        <v>2</v>
      </c>
      <c r="AF20">
        <v>109</v>
      </c>
      <c r="AG20">
        <v>0</v>
      </c>
      <c r="AH20">
        <v>114</v>
      </c>
      <c r="AI20">
        <v>8</v>
      </c>
      <c r="AJ20">
        <v>0</v>
      </c>
      <c r="AK20">
        <f t="shared" si="0"/>
        <v>13230.84</v>
      </c>
    </row>
    <row r="21" spans="1:37" x14ac:dyDescent="0.3">
      <c r="A21">
        <v>55</v>
      </c>
      <c r="B21" t="s">
        <v>46</v>
      </c>
      <c r="C21" t="s">
        <v>39</v>
      </c>
      <c r="D21" t="s">
        <v>7</v>
      </c>
      <c r="E21">
        <v>2300647</v>
      </c>
      <c r="F21" s="1">
        <v>44938</v>
      </c>
      <c r="G21" s="1">
        <v>44943</v>
      </c>
      <c r="H21">
        <v>214</v>
      </c>
      <c r="I21">
        <v>16</v>
      </c>
      <c r="J21">
        <v>12574</v>
      </c>
      <c r="K21">
        <v>23</v>
      </c>
      <c r="L21">
        <v>448</v>
      </c>
      <c r="M21">
        <v>375</v>
      </c>
      <c r="N21">
        <v>0</v>
      </c>
      <c r="O21">
        <v>0</v>
      </c>
      <c r="P21">
        <v>0</v>
      </c>
      <c r="Q21">
        <v>0</v>
      </c>
      <c r="R21">
        <v>832</v>
      </c>
      <c r="S21">
        <v>0</v>
      </c>
      <c r="T21">
        <v>0</v>
      </c>
      <c r="U21">
        <v>0</v>
      </c>
      <c r="V21">
        <v>875</v>
      </c>
      <c r="W21">
        <v>45</v>
      </c>
      <c r="X21">
        <v>318</v>
      </c>
      <c r="Y21">
        <v>0</v>
      </c>
      <c r="Z21">
        <f>2*2.59</f>
        <v>5.18</v>
      </c>
      <c r="AA21">
        <v>0</v>
      </c>
      <c r="AB21">
        <f>37*2.59</f>
        <v>95.83</v>
      </c>
      <c r="AC21">
        <v>0</v>
      </c>
      <c r="AD21">
        <v>280</v>
      </c>
      <c r="AE21">
        <v>0</v>
      </c>
      <c r="AF21">
        <v>107</v>
      </c>
      <c r="AG21">
        <v>0</v>
      </c>
      <c r="AH21">
        <v>416</v>
      </c>
      <c r="AI21">
        <v>3</v>
      </c>
      <c r="AJ21">
        <v>0</v>
      </c>
      <c r="AK21">
        <f t="shared" si="0"/>
        <v>16627.010000000002</v>
      </c>
    </row>
    <row r="22" spans="1:37" x14ac:dyDescent="0.3">
      <c r="A22">
        <v>58</v>
      </c>
      <c r="B22" t="s">
        <v>46</v>
      </c>
      <c r="C22" t="s">
        <v>39</v>
      </c>
      <c r="D22" t="s">
        <v>7</v>
      </c>
      <c r="E22">
        <v>2300647</v>
      </c>
      <c r="F22" s="1">
        <v>44951</v>
      </c>
      <c r="G22" s="1">
        <v>44956</v>
      </c>
      <c r="H22">
        <v>45</v>
      </c>
      <c r="I22">
        <v>1</v>
      </c>
      <c r="J22">
        <v>6497</v>
      </c>
      <c r="K22">
        <v>14</v>
      </c>
      <c r="L22">
        <v>790</v>
      </c>
      <c r="M22">
        <v>100</v>
      </c>
      <c r="N22">
        <v>9</v>
      </c>
      <c r="O22">
        <v>0</v>
      </c>
      <c r="P22">
        <v>0</v>
      </c>
      <c r="Q22">
        <v>0</v>
      </c>
      <c r="R22">
        <v>1092</v>
      </c>
      <c r="S22">
        <v>0</v>
      </c>
      <c r="T22">
        <v>0</v>
      </c>
      <c r="U22">
        <v>0</v>
      </c>
      <c r="V22">
        <v>220</v>
      </c>
      <c r="W22">
        <v>41</v>
      </c>
      <c r="X22">
        <v>33</v>
      </c>
      <c r="Y22">
        <v>0</v>
      </c>
      <c r="Z22">
        <v>0</v>
      </c>
      <c r="AA22">
        <v>0</v>
      </c>
      <c r="AB22">
        <f>7*2.59</f>
        <v>18.13</v>
      </c>
      <c r="AC22">
        <v>0</v>
      </c>
      <c r="AD22">
        <v>278</v>
      </c>
      <c r="AE22">
        <v>0</v>
      </c>
      <c r="AF22">
        <v>18</v>
      </c>
      <c r="AG22">
        <v>0</v>
      </c>
      <c r="AH22">
        <v>26</v>
      </c>
      <c r="AI22">
        <v>0</v>
      </c>
      <c r="AJ22">
        <v>0</v>
      </c>
      <c r="AK22">
        <f t="shared" si="0"/>
        <v>9182.1299999999992</v>
      </c>
    </row>
    <row r="23" spans="1:37" x14ac:dyDescent="0.3">
      <c r="A23">
        <v>61</v>
      </c>
      <c r="B23" t="s">
        <v>46</v>
      </c>
      <c r="C23" t="s">
        <v>39</v>
      </c>
      <c r="D23" t="s">
        <v>7</v>
      </c>
      <c r="E23">
        <v>2300647</v>
      </c>
      <c r="F23" s="1">
        <v>44944</v>
      </c>
      <c r="G23" s="1">
        <v>44951</v>
      </c>
      <c r="H23">
        <v>190</v>
      </c>
      <c r="I23">
        <v>17</v>
      </c>
      <c r="J23">
        <v>19523</v>
      </c>
      <c r="K23">
        <v>58</v>
      </c>
      <c r="L23">
        <v>902</v>
      </c>
      <c r="M23">
        <v>571</v>
      </c>
      <c r="N23">
        <v>0</v>
      </c>
      <c r="O23">
        <v>0</v>
      </c>
      <c r="P23">
        <v>0</v>
      </c>
      <c r="Q23">
        <v>0</v>
      </c>
      <c r="R23">
        <v>1172</v>
      </c>
      <c r="S23">
        <v>0</v>
      </c>
      <c r="T23">
        <v>0</v>
      </c>
      <c r="U23">
        <v>0</v>
      </c>
      <c r="V23">
        <v>1165</v>
      </c>
      <c r="W23">
        <v>0</v>
      </c>
      <c r="X23">
        <v>334</v>
      </c>
      <c r="Y23">
        <v>0</v>
      </c>
      <c r="Z23">
        <v>2.59</v>
      </c>
      <c r="AA23">
        <v>0</v>
      </c>
      <c r="AB23">
        <f>17*2.59</f>
        <v>44.03</v>
      </c>
      <c r="AC23">
        <v>0</v>
      </c>
      <c r="AD23">
        <v>60</v>
      </c>
      <c r="AE23">
        <v>0</v>
      </c>
      <c r="AF23">
        <v>10</v>
      </c>
      <c r="AG23">
        <v>0</v>
      </c>
      <c r="AH23">
        <v>9</v>
      </c>
      <c r="AI23">
        <v>0</v>
      </c>
      <c r="AJ23">
        <v>0</v>
      </c>
      <c r="AK23">
        <f t="shared" si="0"/>
        <v>24057.62</v>
      </c>
    </row>
    <row r="24" spans="1:37" x14ac:dyDescent="0.3">
      <c r="A24">
        <v>64</v>
      </c>
      <c r="B24" t="s">
        <v>46</v>
      </c>
      <c r="C24" t="s">
        <v>39</v>
      </c>
      <c r="D24" t="s">
        <v>7</v>
      </c>
      <c r="E24">
        <v>2300647</v>
      </c>
      <c r="F24" s="1">
        <v>44957</v>
      </c>
      <c r="G24" s="1">
        <v>44963</v>
      </c>
      <c r="H24">
        <v>65</v>
      </c>
      <c r="I24">
        <v>22</v>
      </c>
      <c r="J24">
        <v>11903</v>
      </c>
      <c r="K24">
        <v>18</v>
      </c>
      <c r="L24">
        <v>221</v>
      </c>
      <c r="M24">
        <v>279</v>
      </c>
      <c r="N24">
        <v>4</v>
      </c>
      <c r="O24">
        <v>0</v>
      </c>
      <c r="P24">
        <v>0</v>
      </c>
      <c r="Q24">
        <v>0</v>
      </c>
      <c r="R24">
        <v>1684</v>
      </c>
      <c r="S24">
        <v>0</v>
      </c>
      <c r="T24">
        <v>0</v>
      </c>
      <c r="U24">
        <v>0</v>
      </c>
      <c r="V24">
        <v>2047</v>
      </c>
      <c r="W24">
        <v>59</v>
      </c>
      <c r="X24">
        <v>1523</v>
      </c>
      <c r="Y24">
        <v>0</v>
      </c>
      <c r="Z24">
        <v>2.59</v>
      </c>
      <c r="AA24">
        <v>0</v>
      </c>
      <c r="AB24">
        <f>26*2.59</f>
        <v>67.34</v>
      </c>
      <c r="AC24">
        <v>0</v>
      </c>
      <c r="AD24">
        <v>574</v>
      </c>
      <c r="AE24">
        <v>0</v>
      </c>
      <c r="AF24">
        <v>598</v>
      </c>
      <c r="AG24">
        <v>0</v>
      </c>
      <c r="AH24">
        <v>391</v>
      </c>
      <c r="AI24">
        <v>0</v>
      </c>
      <c r="AJ24">
        <v>0</v>
      </c>
      <c r="AK24">
        <f t="shared" si="0"/>
        <v>19457.93</v>
      </c>
    </row>
    <row r="25" spans="1:37" x14ac:dyDescent="0.3">
      <c r="A25">
        <v>67</v>
      </c>
      <c r="B25" t="s">
        <v>46</v>
      </c>
      <c r="C25" t="s">
        <v>39</v>
      </c>
      <c r="D25" t="s">
        <v>7</v>
      </c>
      <c r="E25">
        <v>2300647</v>
      </c>
      <c r="F25" s="1">
        <v>44965</v>
      </c>
      <c r="G25" s="1">
        <v>44971</v>
      </c>
      <c r="H25">
        <v>85</v>
      </c>
      <c r="I25">
        <v>0</v>
      </c>
      <c r="J25">
        <v>17451</v>
      </c>
      <c r="K25">
        <v>68</v>
      </c>
      <c r="L25">
        <v>74</v>
      </c>
      <c r="M25">
        <v>131</v>
      </c>
      <c r="N25">
        <v>0</v>
      </c>
      <c r="O25">
        <v>0</v>
      </c>
      <c r="P25">
        <v>0</v>
      </c>
      <c r="Q25">
        <v>0</v>
      </c>
      <c r="R25">
        <v>460</v>
      </c>
      <c r="S25">
        <v>27</v>
      </c>
      <c r="T25">
        <v>0</v>
      </c>
      <c r="U25">
        <v>0</v>
      </c>
      <c r="V25">
        <v>361</v>
      </c>
      <c r="W25">
        <v>2</v>
      </c>
      <c r="X25">
        <v>2238</v>
      </c>
      <c r="Y25">
        <v>0</v>
      </c>
      <c r="Z25">
        <f>4*2.59</f>
        <v>10.36</v>
      </c>
      <c r="AA25">
        <v>0</v>
      </c>
      <c r="AB25">
        <f>66*2.59</f>
        <v>170.94</v>
      </c>
      <c r="AC25">
        <v>0</v>
      </c>
      <c r="AD25">
        <v>370</v>
      </c>
      <c r="AE25">
        <v>0</v>
      </c>
      <c r="AF25">
        <v>84</v>
      </c>
      <c r="AG25">
        <v>0</v>
      </c>
      <c r="AH25">
        <v>16</v>
      </c>
      <c r="AI25">
        <v>0</v>
      </c>
      <c r="AJ25">
        <v>0</v>
      </c>
      <c r="AK25">
        <f t="shared" si="0"/>
        <v>21548.3</v>
      </c>
    </row>
    <row r="26" spans="1:37" x14ac:dyDescent="0.3">
      <c r="A26">
        <v>70</v>
      </c>
      <c r="B26" t="s">
        <v>46</v>
      </c>
      <c r="C26" t="s">
        <v>39</v>
      </c>
      <c r="D26" t="s">
        <v>43</v>
      </c>
      <c r="E26">
        <v>2301592</v>
      </c>
      <c r="F26" s="1">
        <v>44971</v>
      </c>
      <c r="G26" s="1">
        <v>44978</v>
      </c>
      <c r="H26">
        <v>287</v>
      </c>
      <c r="I26">
        <v>68</v>
      </c>
      <c r="J26">
        <v>9426</v>
      </c>
      <c r="K26">
        <v>41</v>
      </c>
      <c r="L26">
        <v>2402</v>
      </c>
      <c r="M26">
        <v>65</v>
      </c>
      <c r="N26">
        <v>0</v>
      </c>
      <c r="O26">
        <v>0</v>
      </c>
      <c r="P26">
        <v>0</v>
      </c>
      <c r="Q26">
        <v>0</v>
      </c>
      <c r="R26">
        <v>568</v>
      </c>
      <c r="S26">
        <v>9</v>
      </c>
      <c r="T26">
        <v>0</v>
      </c>
      <c r="U26">
        <v>0</v>
      </c>
      <c r="V26">
        <v>1222</v>
      </c>
      <c r="W26">
        <v>58</v>
      </c>
      <c r="X26">
        <v>1924</v>
      </c>
      <c r="Y26">
        <v>0</v>
      </c>
      <c r="Z26">
        <f>15*2.59</f>
        <v>38.849999999999994</v>
      </c>
      <c r="AA26">
        <v>0</v>
      </c>
      <c r="AB26">
        <f>286*2.59</f>
        <v>740.74</v>
      </c>
      <c r="AC26">
        <v>0</v>
      </c>
      <c r="AD26">
        <v>322</v>
      </c>
      <c r="AE26">
        <v>0</v>
      </c>
      <c r="AF26">
        <v>29</v>
      </c>
      <c r="AG26">
        <v>0</v>
      </c>
      <c r="AH26">
        <v>11</v>
      </c>
      <c r="AI26">
        <v>6</v>
      </c>
      <c r="AJ26">
        <v>0</v>
      </c>
      <c r="AK26">
        <f t="shared" si="0"/>
        <v>17217.59</v>
      </c>
    </row>
    <row r="27" spans="1:37" x14ac:dyDescent="0.3">
      <c r="A27">
        <v>74</v>
      </c>
      <c r="B27" t="s">
        <v>46</v>
      </c>
      <c r="C27" t="s">
        <v>39</v>
      </c>
      <c r="D27" t="s">
        <v>43</v>
      </c>
      <c r="E27">
        <v>2301592</v>
      </c>
      <c r="F27" s="1">
        <v>44978</v>
      </c>
      <c r="G27" s="1">
        <v>44985</v>
      </c>
      <c r="H27">
        <v>121</v>
      </c>
      <c r="I27">
        <v>3</v>
      </c>
      <c r="J27">
        <v>8764</v>
      </c>
      <c r="K27">
        <v>32</v>
      </c>
      <c r="L27">
        <v>474</v>
      </c>
      <c r="M27">
        <v>28</v>
      </c>
      <c r="N27">
        <v>0</v>
      </c>
      <c r="O27">
        <v>10</v>
      </c>
      <c r="P27">
        <v>0</v>
      </c>
      <c r="Q27">
        <v>0</v>
      </c>
      <c r="R27">
        <v>1144</v>
      </c>
      <c r="S27">
        <v>0</v>
      </c>
      <c r="T27">
        <v>0</v>
      </c>
      <c r="U27">
        <v>0</v>
      </c>
      <c r="V27">
        <v>1278</v>
      </c>
      <c r="W27">
        <v>9</v>
      </c>
      <c r="X27">
        <v>2757</v>
      </c>
      <c r="Y27">
        <v>0</v>
      </c>
      <c r="Z27">
        <f>6*2.59</f>
        <v>15.54</v>
      </c>
      <c r="AA27">
        <v>0</v>
      </c>
      <c r="AB27">
        <f>104*2.59</f>
        <v>269.36</v>
      </c>
      <c r="AC27">
        <v>0</v>
      </c>
      <c r="AD27">
        <v>254</v>
      </c>
      <c r="AE27">
        <v>0</v>
      </c>
      <c r="AF27">
        <v>86</v>
      </c>
      <c r="AG27">
        <v>0</v>
      </c>
      <c r="AH27">
        <v>8</v>
      </c>
      <c r="AI27">
        <v>0</v>
      </c>
      <c r="AJ27">
        <v>0</v>
      </c>
      <c r="AK27">
        <f t="shared" si="0"/>
        <v>15252.900000000001</v>
      </c>
    </row>
    <row r="28" spans="1:37" x14ac:dyDescent="0.3">
      <c r="A28">
        <v>77</v>
      </c>
      <c r="B28" t="s">
        <v>46</v>
      </c>
      <c r="C28" t="s">
        <v>39</v>
      </c>
      <c r="D28" t="s">
        <v>43</v>
      </c>
      <c r="E28" s="8">
        <v>2301592</v>
      </c>
      <c r="F28" s="1">
        <v>44986</v>
      </c>
      <c r="G28" s="1">
        <v>44993</v>
      </c>
      <c r="H28">
        <v>244</v>
      </c>
      <c r="I28">
        <v>144</v>
      </c>
      <c r="J28">
        <v>7052</v>
      </c>
      <c r="K28">
        <v>38</v>
      </c>
      <c r="L28">
        <v>515</v>
      </c>
      <c r="M28">
        <v>392</v>
      </c>
      <c r="N28">
        <v>0</v>
      </c>
      <c r="O28">
        <v>0</v>
      </c>
      <c r="P28">
        <v>0</v>
      </c>
      <c r="Q28">
        <v>0</v>
      </c>
      <c r="R28">
        <v>2012</v>
      </c>
      <c r="S28">
        <v>0</v>
      </c>
      <c r="T28">
        <v>0</v>
      </c>
      <c r="U28">
        <v>0</v>
      </c>
      <c r="V28">
        <v>1865</v>
      </c>
      <c r="W28">
        <v>16</v>
      </c>
      <c r="X28">
        <v>1319</v>
      </c>
      <c r="Y28">
        <v>0</v>
      </c>
      <c r="Z28">
        <f>3*2.59</f>
        <v>7.77</v>
      </c>
      <c r="AA28">
        <v>0</v>
      </c>
      <c r="AB28">
        <f>51*2.59</f>
        <v>132.09</v>
      </c>
      <c r="AC28">
        <v>0</v>
      </c>
      <c r="AD28">
        <v>716</v>
      </c>
      <c r="AE28">
        <v>0</v>
      </c>
      <c r="AF28">
        <v>463</v>
      </c>
      <c r="AG28">
        <v>0</v>
      </c>
      <c r="AH28">
        <v>837</v>
      </c>
      <c r="AI28">
        <v>5</v>
      </c>
      <c r="AJ28">
        <v>0</v>
      </c>
      <c r="AK28">
        <f t="shared" si="0"/>
        <v>15757.86</v>
      </c>
    </row>
    <row r="29" spans="1:37" x14ac:dyDescent="0.3">
      <c r="A29">
        <v>80</v>
      </c>
      <c r="B29" t="s">
        <v>46</v>
      </c>
      <c r="C29" t="s">
        <v>39</v>
      </c>
      <c r="D29" t="s">
        <v>43</v>
      </c>
      <c r="E29">
        <v>2301592</v>
      </c>
      <c r="F29" s="1">
        <v>44994</v>
      </c>
      <c r="G29" s="1">
        <v>45001</v>
      </c>
      <c r="H29">
        <v>109</v>
      </c>
      <c r="I29">
        <v>119</v>
      </c>
      <c r="J29">
        <v>7902</v>
      </c>
      <c r="K29">
        <v>3</v>
      </c>
      <c r="L29">
        <v>178</v>
      </c>
      <c r="M29">
        <v>217</v>
      </c>
      <c r="N29">
        <v>4</v>
      </c>
      <c r="O29">
        <v>0</v>
      </c>
      <c r="P29">
        <v>0</v>
      </c>
      <c r="Q29">
        <v>0</v>
      </c>
      <c r="R29">
        <v>1068</v>
      </c>
      <c r="S29">
        <v>0</v>
      </c>
      <c r="T29">
        <v>0</v>
      </c>
      <c r="U29">
        <v>0</v>
      </c>
      <c r="V29">
        <v>1502</v>
      </c>
      <c r="W29">
        <v>2</v>
      </c>
      <c r="X29">
        <v>73</v>
      </c>
      <c r="Y29">
        <v>0</v>
      </c>
      <c r="Z29">
        <v>2.59</v>
      </c>
      <c r="AA29">
        <v>0</v>
      </c>
      <c r="AB29">
        <f>21*2.59</f>
        <v>54.39</v>
      </c>
      <c r="AC29">
        <v>0</v>
      </c>
      <c r="AD29">
        <v>700</v>
      </c>
      <c r="AE29">
        <v>0</v>
      </c>
      <c r="AF29">
        <v>9</v>
      </c>
      <c r="AG29">
        <v>0</v>
      </c>
      <c r="AH29">
        <v>204</v>
      </c>
      <c r="AI29">
        <v>0</v>
      </c>
      <c r="AJ29">
        <v>0</v>
      </c>
      <c r="AK29">
        <f t="shared" si="0"/>
        <v>12146.98</v>
      </c>
    </row>
    <row r="30" spans="1:37" x14ac:dyDescent="0.3">
      <c r="A30">
        <v>83</v>
      </c>
      <c r="B30" t="s">
        <v>46</v>
      </c>
      <c r="C30" t="s">
        <v>39</v>
      </c>
      <c r="D30" t="s">
        <v>38</v>
      </c>
      <c r="E30">
        <v>2302470</v>
      </c>
      <c r="F30" s="1">
        <v>45003</v>
      </c>
      <c r="G30" s="1">
        <v>45009</v>
      </c>
      <c r="H30">
        <v>45</v>
      </c>
      <c r="I30">
        <v>8</v>
      </c>
      <c r="J30">
        <v>7300</v>
      </c>
      <c r="K30">
        <v>15</v>
      </c>
      <c r="L30">
        <v>1890</v>
      </c>
      <c r="M30">
        <v>24</v>
      </c>
      <c r="N30">
        <v>0</v>
      </c>
      <c r="O30">
        <v>0</v>
      </c>
      <c r="P30">
        <v>0</v>
      </c>
      <c r="Q30">
        <v>0</v>
      </c>
      <c r="R30">
        <v>864</v>
      </c>
      <c r="S30">
        <v>0</v>
      </c>
      <c r="T30">
        <v>0</v>
      </c>
      <c r="U30">
        <v>0</v>
      </c>
      <c r="V30">
        <v>644</v>
      </c>
      <c r="W30">
        <v>28</v>
      </c>
      <c r="X30">
        <v>2712</v>
      </c>
      <c r="Y30">
        <v>0</v>
      </c>
      <c r="Z30">
        <f>12*2.59</f>
        <v>31.08</v>
      </c>
      <c r="AA30">
        <v>0</v>
      </c>
      <c r="AB30">
        <f>236*2.59</f>
        <v>611.24</v>
      </c>
      <c r="AC30">
        <v>0</v>
      </c>
      <c r="AD30">
        <v>90</v>
      </c>
      <c r="AE30">
        <v>0</v>
      </c>
      <c r="AF30">
        <v>178</v>
      </c>
      <c r="AG30">
        <v>0</v>
      </c>
      <c r="AH30">
        <v>73</v>
      </c>
      <c r="AI30">
        <v>3</v>
      </c>
      <c r="AJ30">
        <v>0</v>
      </c>
      <c r="AK30">
        <f t="shared" si="0"/>
        <v>14516.32</v>
      </c>
    </row>
    <row r="31" spans="1:37" x14ac:dyDescent="0.3">
      <c r="A31">
        <v>86</v>
      </c>
      <c r="B31" t="s">
        <v>46</v>
      </c>
      <c r="C31" t="s">
        <v>39</v>
      </c>
      <c r="D31" t="s">
        <v>38</v>
      </c>
      <c r="E31">
        <v>2302470</v>
      </c>
      <c r="F31" s="1">
        <v>45012</v>
      </c>
      <c r="G31" s="1">
        <v>45018</v>
      </c>
      <c r="H31">
        <v>234</v>
      </c>
      <c r="I31">
        <v>70</v>
      </c>
      <c r="J31">
        <v>12794</v>
      </c>
      <c r="K31">
        <v>52</v>
      </c>
      <c r="L31">
        <v>1077</v>
      </c>
      <c r="M31">
        <v>654</v>
      </c>
      <c r="N31">
        <v>0</v>
      </c>
      <c r="O31">
        <v>10</v>
      </c>
      <c r="P31">
        <v>0</v>
      </c>
      <c r="Q31">
        <v>0</v>
      </c>
      <c r="R31">
        <v>1100</v>
      </c>
      <c r="S31">
        <v>0</v>
      </c>
      <c r="T31">
        <v>0</v>
      </c>
      <c r="U31">
        <v>0</v>
      </c>
      <c r="V31">
        <v>1568</v>
      </c>
      <c r="W31">
        <v>82</v>
      </c>
      <c r="X31">
        <v>990</v>
      </c>
      <c r="Y31">
        <v>0</v>
      </c>
      <c r="Z31">
        <f>2*2.59</f>
        <v>5.18</v>
      </c>
      <c r="AA31">
        <v>0</v>
      </c>
      <c r="AB31">
        <f>32*2.59</f>
        <v>82.88</v>
      </c>
      <c r="AC31">
        <v>0</v>
      </c>
      <c r="AD31">
        <v>812</v>
      </c>
      <c r="AE31">
        <v>3</v>
      </c>
      <c r="AF31">
        <v>162</v>
      </c>
      <c r="AG31">
        <v>0</v>
      </c>
      <c r="AH31">
        <v>795</v>
      </c>
      <c r="AI31">
        <v>3</v>
      </c>
      <c r="AJ31">
        <v>0</v>
      </c>
      <c r="AK31">
        <f t="shared" si="0"/>
        <v>20494.060000000001</v>
      </c>
    </row>
    <row r="32" spans="1:37" x14ac:dyDescent="0.3">
      <c r="A32">
        <v>89</v>
      </c>
      <c r="B32" t="s">
        <v>46</v>
      </c>
      <c r="C32" t="s">
        <v>39</v>
      </c>
      <c r="D32" t="s">
        <v>45</v>
      </c>
      <c r="E32" s="9">
        <v>2303585</v>
      </c>
      <c r="F32" s="1">
        <v>45018</v>
      </c>
      <c r="G32" s="1">
        <v>45026</v>
      </c>
      <c r="H32">
        <v>642</v>
      </c>
      <c r="I32">
        <v>114</v>
      </c>
      <c r="J32">
        <v>13207</v>
      </c>
      <c r="K32">
        <v>103</v>
      </c>
      <c r="L32">
        <v>588</v>
      </c>
      <c r="M32">
        <v>1225</v>
      </c>
      <c r="N32">
        <v>5</v>
      </c>
      <c r="O32">
        <v>0</v>
      </c>
      <c r="P32">
        <v>0</v>
      </c>
      <c r="Q32">
        <v>0</v>
      </c>
      <c r="R32" s="4">
        <f>909*4</f>
        <v>3636</v>
      </c>
      <c r="S32" s="4"/>
      <c r="T32" s="4"/>
      <c r="U32" s="4"/>
      <c r="V32" s="4">
        <f>1085*757/541</f>
        <v>1518.1977818853975</v>
      </c>
      <c r="W32" s="4">
        <v>15</v>
      </c>
      <c r="X32" s="4">
        <v>1264</v>
      </c>
      <c r="Y32" s="4"/>
      <c r="Z32" s="4">
        <v>2.59</v>
      </c>
      <c r="AA32" s="4"/>
      <c r="AB32" s="4">
        <f>14*2.59</f>
        <v>36.26</v>
      </c>
      <c r="AC32">
        <v>0</v>
      </c>
      <c r="AD32" s="4">
        <v>706</v>
      </c>
      <c r="AE32" s="4"/>
      <c r="AF32" s="4">
        <v>177</v>
      </c>
      <c r="AG32" s="4"/>
      <c r="AH32" s="4">
        <v>428</v>
      </c>
      <c r="AI32" s="4">
        <v>1</v>
      </c>
      <c r="AJ32" s="4">
        <v>0</v>
      </c>
      <c r="AK32">
        <f t="shared" si="0"/>
        <v>23668.047781885398</v>
      </c>
    </row>
    <row r="33" spans="1:37" x14ac:dyDescent="0.3">
      <c r="A33">
        <v>91</v>
      </c>
      <c r="B33" t="s">
        <v>46</v>
      </c>
      <c r="C33" t="s">
        <v>39</v>
      </c>
      <c r="D33" t="s">
        <v>45</v>
      </c>
      <c r="E33" s="9">
        <v>2303585</v>
      </c>
      <c r="F33" s="1">
        <v>45027</v>
      </c>
      <c r="G33" s="1">
        <v>45033</v>
      </c>
      <c r="H33">
        <v>284</v>
      </c>
      <c r="I33">
        <v>173</v>
      </c>
      <c r="J33">
        <v>12934</v>
      </c>
      <c r="K33">
        <v>27</v>
      </c>
      <c r="L33">
        <v>126</v>
      </c>
      <c r="M33">
        <v>138</v>
      </c>
      <c r="N33">
        <v>0</v>
      </c>
      <c r="O33">
        <v>0</v>
      </c>
      <c r="P33">
        <v>0</v>
      </c>
      <c r="Q33">
        <v>0</v>
      </c>
      <c r="R33">
        <v>1336</v>
      </c>
      <c r="S33">
        <v>0</v>
      </c>
      <c r="T33">
        <v>0</v>
      </c>
      <c r="U33">
        <v>0</v>
      </c>
      <c r="V33">
        <v>1036</v>
      </c>
      <c r="W33">
        <v>20</v>
      </c>
      <c r="X33">
        <v>484</v>
      </c>
      <c r="Y33">
        <v>0</v>
      </c>
      <c r="Z33">
        <v>2.59</v>
      </c>
      <c r="AA33">
        <v>0</v>
      </c>
      <c r="AB33">
        <f>16*2.59</f>
        <v>41.44</v>
      </c>
      <c r="AC33">
        <v>0</v>
      </c>
      <c r="AD33">
        <v>1148</v>
      </c>
      <c r="AE33">
        <v>0</v>
      </c>
      <c r="AF33">
        <v>241</v>
      </c>
      <c r="AG33">
        <v>0</v>
      </c>
      <c r="AH33">
        <v>400</v>
      </c>
      <c r="AI33">
        <v>7</v>
      </c>
      <c r="AJ33">
        <v>0</v>
      </c>
      <c r="AK33">
        <f t="shared" si="0"/>
        <v>18398.03</v>
      </c>
    </row>
    <row r="34" spans="1:37" x14ac:dyDescent="0.3">
      <c r="A34">
        <v>94</v>
      </c>
      <c r="B34" t="s">
        <v>46</v>
      </c>
      <c r="C34" t="s">
        <v>39</v>
      </c>
      <c r="D34" t="s">
        <v>45</v>
      </c>
      <c r="E34" s="9">
        <v>2303585</v>
      </c>
      <c r="F34" s="1">
        <v>45034</v>
      </c>
      <c r="G34" s="1">
        <v>45040</v>
      </c>
      <c r="H34">
        <v>159</v>
      </c>
      <c r="I34">
        <v>196</v>
      </c>
      <c r="J34">
        <v>12308</v>
      </c>
      <c r="K34">
        <v>18</v>
      </c>
      <c r="L34">
        <v>155</v>
      </c>
      <c r="M34">
        <v>0</v>
      </c>
      <c r="N34">
        <v>0</v>
      </c>
      <c r="O34">
        <v>0</v>
      </c>
      <c r="P34">
        <v>0</v>
      </c>
      <c r="Q34">
        <v>0</v>
      </c>
      <c r="R34">
        <v>1148</v>
      </c>
      <c r="S34">
        <v>0</v>
      </c>
      <c r="T34">
        <v>0</v>
      </c>
      <c r="U34">
        <v>0</v>
      </c>
      <c r="V34">
        <v>1599</v>
      </c>
      <c r="W34">
        <v>15</v>
      </c>
      <c r="X34">
        <v>2365</v>
      </c>
      <c r="Y34">
        <v>0</v>
      </c>
      <c r="Z34">
        <f>3*2.59</f>
        <v>7.77</v>
      </c>
      <c r="AA34">
        <v>0</v>
      </c>
      <c r="AB34">
        <f>53*2.59</f>
        <v>137.26999999999998</v>
      </c>
      <c r="AC34">
        <v>0</v>
      </c>
      <c r="AD34">
        <v>800</v>
      </c>
      <c r="AE34">
        <v>0</v>
      </c>
      <c r="AF34">
        <v>194</v>
      </c>
      <c r="AG34">
        <v>0</v>
      </c>
      <c r="AH34">
        <v>702</v>
      </c>
      <c r="AI34">
        <v>3</v>
      </c>
      <c r="AJ34">
        <v>0</v>
      </c>
      <c r="AK34">
        <f t="shared" si="0"/>
        <v>19807.04</v>
      </c>
    </row>
    <row r="35" spans="1:37" x14ac:dyDescent="0.3">
      <c r="A35">
        <v>97</v>
      </c>
      <c r="B35" t="s">
        <v>46</v>
      </c>
      <c r="C35" t="s">
        <v>39</v>
      </c>
      <c r="D35" t="s">
        <v>45</v>
      </c>
      <c r="E35" s="9">
        <v>2303585</v>
      </c>
      <c r="F35" s="1">
        <v>45040</v>
      </c>
      <c r="G35" s="1">
        <v>45048</v>
      </c>
      <c r="H35">
        <v>319</v>
      </c>
      <c r="I35">
        <v>113</v>
      </c>
      <c r="J35">
        <v>6260</v>
      </c>
      <c r="K35">
        <v>111</v>
      </c>
      <c r="L35">
        <v>47</v>
      </c>
      <c r="M35">
        <v>0</v>
      </c>
      <c r="N35">
        <v>0</v>
      </c>
      <c r="O35">
        <v>0</v>
      </c>
      <c r="P35">
        <v>0</v>
      </c>
      <c r="Q35">
        <v>0</v>
      </c>
      <c r="R35">
        <v>580</v>
      </c>
      <c r="S35">
        <v>0</v>
      </c>
      <c r="T35">
        <v>0</v>
      </c>
      <c r="U35">
        <v>0</v>
      </c>
      <c r="V35">
        <v>1364</v>
      </c>
      <c r="W35">
        <v>38</v>
      </c>
      <c r="X35">
        <v>2058</v>
      </c>
      <c r="Y35">
        <v>0</v>
      </c>
      <c r="Z35">
        <v>2.59</v>
      </c>
      <c r="AA35">
        <v>0</v>
      </c>
      <c r="AB35">
        <f>21*2.59</f>
        <v>54.39</v>
      </c>
      <c r="AC35">
        <v>0</v>
      </c>
      <c r="AD35">
        <v>2606</v>
      </c>
      <c r="AE35">
        <v>0</v>
      </c>
      <c r="AF35">
        <v>1035</v>
      </c>
      <c r="AG35">
        <v>0</v>
      </c>
      <c r="AH35">
        <v>338</v>
      </c>
      <c r="AI35">
        <v>1</v>
      </c>
      <c r="AJ35">
        <v>0</v>
      </c>
      <c r="AK35">
        <f t="shared" si="0"/>
        <v>14926.98</v>
      </c>
    </row>
    <row r="36" spans="1:37" x14ac:dyDescent="0.3">
      <c r="A36">
        <v>100</v>
      </c>
      <c r="B36" t="s">
        <v>46</v>
      </c>
      <c r="C36" t="s">
        <v>39</v>
      </c>
      <c r="D36" t="s">
        <v>7</v>
      </c>
      <c r="E36" s="9">
        <v>2303585</v>
      </c>
      <c r="F36" s="1">
        <v>45051</v>
      </c>
      <c r="G36" s="1">
        <v>45058</v>
      </c>
      <c r="H36">
        <v>234</v>
      </c>
      <c r="I36">
        <v>76</v>
      </c>
      <c r="J36">
        <v>11972</v>
      </c>
      <c r="K36">
        <v>21</v>
      </c>
      <c r="L36">
        <v>387</v>
      </c>
      <c r="M36">
        <v>169</v>
      </c>
      <c r="N36">
        <v>2</v>
      </c>
      <c r="O36">
        <v>0</v>
      </c>
      <c r="P36">
        <v>0</v>
      </c>
      <c r="Q36">
        <v>0</v>
      </c>
      <c r="R36">
        <v>2044</v>
      </c>
      <c r="S36">
        <v>0</v>
      </c>
      <c r="T36">
        <v>0</v>
      </c>
      <c r="U36">
        <v>0</v>
      </c>
      <c r="V36">
        <v>885</v>
      </c>
      <c r="W36">
        <v>466</v>
      </c>
      <c r="X36">
        <v>1121</v>
      </c>
      <c r="Y36">
        <v>0</v>
      </c>
      <c r="Z36">
        <f>6*2.59</f>
        <v>15.54</v>
      </c>
      <c r="AA36">
        <v>0</v>
      </c>
      <c r="AB36">
        <f>117*2.59</f>
        <v>303.02999999999997</v>
      </c>
      <c r="AC36">
        <v>0</v>
      </c>
      <c r="AD36">
        <v>434</v>
      </c>
      <c r="AE36">
        <v>0</v>
      </c>
      <c r="AF36">
        <v>237</v>
      </c>
      <c r="AG36">
        <v>0</v>
      </c>
      <c r="AH36">
        <v>534</v>
      </c>
      <c r="AI36">
        <v>74</v>
      </c>
      <c r="AJ36">
        <v>0</v>
      </c>
      <c r="AK36">
        <f t="shared" si="0"/>
        <v>18974.57</v>
      </c>
    </row>
    <row r="37" spans="1:37" x14ac:dyDescent="0.3">
      <c r="A37">
        <v>103</v>
      </c>
      <c r="B37" t="s">
        <v>46</v>
      </c>
      <c r="C37" t="s">
        <v>39</v>
      </c>
      <c r="D37" t="s">
        <v>7</v>
      </c>
      <c r="E37" s="9">
        <v>2303585</v>
      </c>
      <c r="F37" s="1">
        <v>45061</v>
      </c>
      <c r="G37" s="1">
        <v>45069</v>
      </c>
      <c r="H37">
        <v>8</v>
      </c>
      <c r="I37">
        <v>191</v>
      </c>
      <c r="J37">
        <v>8283</v>
      </c>
      <c r="K37">
        <v>33</v>
      </c>
      <c r="L37">
        <v>19</v>
      </c>
      <c r="M37">
        <v>0</v>
      </c>
      <c r="N37">
        <v>0</v>
      </c>
      <c r="O37">
        <v>0</v>
      </c>
      <c r="P37">
        <v>0</v>
      </c>
      <c r="Q37">
        <v>0</v>
      </c>
      <c r="R37">
        <v>1164</v>
      </c>
      <c r="S37">
        <v>0</v>
      </c>
      <c r="T37">
        <v>0</v>
      </c>
      <c r="U37">
        <v>0</v>
      </c>
      <c r="V37">
        <v>494</v>
      </c>
      <c r="W37">
        <v>121</v>
      </c>
      <c r="X37">
        <v>458</v>
      </c>
      <c r="Y37">
        <v>0</v>
      </c>
      <c r="Z37">
        <f>2*2.59</f>
        <v>5.18</v>
      </c>
      <c r="AA37">
        <v>0</v>
      </c>
      <c r="AB37">
        <f>35*2.59</f>
        <v>90.649999999999991</v>
      </c>
      <c r="AC37">
        <v>0</v>
      </c>
      <c r="AD37">
        <v>1016</v>
      </c>
      <c r="AE37">
        <v>0</v>
      </c>
      <c r="AF37">
        <v>137</v>
      </c>
      <c r="AG37">
        <v>0</v>
      </c>
      <c r="AH37">
        <v>282</v>
      </c>
      <c r="AI37">
        <v>10</v>
      </c>
      <c r="AJ37">
        <v>0</v>
      </c>
      <c r="AK37">
        <f t="shared" si="0"/>
        <v>12311.83</v>
      </c>
    </row>
    <row r="38" spans="1:37" x14ac:dyDescent="0.3">
      <c r="A38">
        <v>106</v>
      </c>
      <c r="B38" t="s">
        <v>46</v>
      </c>
      <c r="C38" t="s">
        <v>39</v>
      </c>
      <c r="D38" t="s">
        <v>45</v>
      </c>
      <c r="E38" s="9">
        <v>2303585</v>
      </c>
      <c r="F38" s="1">
        <v>45070</v>
      </c>
      <c r="G38" s="1">
        <v>45076</v>
      </c>
      <c r="H38">
        <v>156</v>
      </c>
      <c r="I38">
        <v>53</v>
      </c>
      <c r="J38">
        <v>11038</v>
      </c>
      <c r="K38">
        <v>18</v>
      </c>
      <c r="L38">
        <v>297</v>
      </c>
      <c r="M38">
        <v>330</v>
      </c>
      <c r="N38">
        <v>5</v>
      </c>
      <c r="O38">
        <v>18</v>
      </c>
      <c r="P38">
        <v>0</v>
      </c>
      <c r="Q38">
        <v>0</v>
      </c>
      <c r="R38">
        <v>1768</v>
      </c>
      <c r="S38">
        <v>0</v>
      </c>
      <c r="T38">
        <v>0</v>
      </c>
      <c r="U38">
        <v>0</v>
      </c>
      <c r="V38">
        <v>1138</v>
      </c>
      <c r="W38">
        <v>106</v>
      </c>
      <c r="X38">
        <v>289</v>
      </c>
      <c r="Y38">
        <v>0</v>
      </c>
      <c r="Z38">
        <v>2.59</v>
      </c>
      <c r="AA38">
        <v>0</v>
      </c>
      <c r="AB38">
        <f>20*2.59</f>
        <v>51.8</v>
      </c>
      <c r="AC38">
        <v>0</v>
      </c>
      <c r="AD38">
        <v>384</v>
      </c>
      <c r="AE38">
        <v>0</v>
      </c>
      <c r="AF38">
        <v>21</v>
      </c>
      <c r="AG38">
        <v>0</v>
      </c>
      <c r="AH38">
        <v>224</v>
      </c>
      <c r="AI38">
        <v>4</v>
      </c>
      <c r="AJ38">
        <v>0</v>
      </c>
      <c r="AK38">
        <f t="shared" si="0"/>
        <v>15903.39</v>
      </c>
    </row>
    <row r="39" spans="1:37" x14ac:dyDescent="0.3">
      <c r="A39">
        <v>109</v>
      </c>
      <c r="B39" t="s">
        <v>70</v>
      </c>
      <c r="C39" t="s">
        <v>71</v>
      </c>
      <c r="D39" t="s">
        <v>7</v>
      </c>
      <c r="E39">
        <v>2200197</v>
      </c>
      <c r="F39" s="1">
        <v>44923</v>
      </c>
      <c r="G39" s="1">
        <v>44930</v>
      </c>
      <c r="H39">
        <v>330</v>
      </c>
      <c r="I39">
        <v>0</v>
      </c>
      <c r="J39">
        <v>16086</v>
      </c>
      <c r="K39">
        <v>5</v>
      </c>
      <c r="L39">
        <v>721</v>
      </c>
      <c r="M39">
        <v>189</v>
      </c>
      <c r="N39">
        <v>0</v>
      </c>
      <c r="O39">
        <v>0</v>
      </c>
      <c r="P39">
        <v>0</v>
      </c>
      <c r="Q39">
        <v>0</v>
      </c>
      <c r="R39">
        <v>3184</v>
      </c>
      <c r="S39">
        <v>2</v>
      </c>
      <c r="T39">
        <v>0</v>
      </c>
      <c r="U39">
        <v>3</v>
      </c>
      <c r="V39">
        <v>117</v>
      </c>
      <c r="W39">
        <v>10</v>
      </c>
      <c r="X39">
        <v>2075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502</v>
      </c>
      <c r="AE39">
        <v>0</v>
      </c>
      <c r="AF39">
        <v>98</v>
      </c>
      <c r="AG39">
        <v>0</v>
      </c>
      <c r="AH39">
        <v>8</v>
      </c>
      <c r="AI39">
        <v>0</v>
      </c>
      <c r="AJ39">
        <v>0</v>
      </c>
      <c r="AK39">
        <f t="shared" si="0"/>
        <v>23330</v>
      </c>
    </row>
    <row r="40" spans="1:37" x14ac:dyDescent="0.3">
      <c r="A40">
        <v>112</v>
      </c>
      <c r="B40" t="s">
        <v>70</v>
      </c>
      <c r="C40" t="s">
        <v>71</v>
      </c>
      <c r="D40" t="s">
        <v>72</v>
      </c>
      <c r="E40">
        <v>2300250</v>
      </c>
      <c r="F40" s="1">
        <v>44930</v>
      </c>
      <c r="G40" s="1">
        <v>44937</v>
      </c>
      <c r="H40">
        <v>472</v>
      </c>
      <c r="I40">
        <v>3</v>
      </c>
      <c r="J40">
        <v>15685</v>
      </c>
      <c r="K40">
        <v>24</v>
      </c>
      <c r="L40">
        <v>240</v>
      </c>
      <c r="M40">
        <v>303</v>
      </c>
      <c r="N40">
        <v>0</v>
      </c>
      <c r="O40">
        <v>0</v>
      </c>
      <c r="P40">
        <v>0</v>
      </c>
      <c r="Q40">
        <v>0</v>
      </c>
      <c r="R40">
        <v>2132</v>
      </c>
      <c r="S40">
        <v>0</v>
      </c>
      <c r="T40">
        <v>0</v>
      </c>
      <c r="U40">
        <v>0</v>
      </c>
      <c r="V40">
        <v>1271</v>
      </c>
      <c r="W40">
        <v>0</v>
      </c>
      <c r="X40">
        <v>377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134</v>
      </c>
      <c r="AE40">
        <v>0</v>
      </c>
      <c r="AF40">
        <v>150</v>
      </c>
      <c r="AG40">
        <v>0</v>
      </c>
      <c r="AH40">
        <v>14</v>
      </c>
      <c r="AI40">
        <v>0</v>
      </c>
      <c r="AJ40">
        <v>0</v>
      </c>
      <c r="AK40">
        <f t="shared" si="0"/>
        <v>20805</v>
      </c>
    </row>
    <row r="41" spans="1:37" x14ac:dyDescent="0.3">
      <c r="A41">
        <v>115</v>
      </c>
      <c r="B41" t="s">
        <v>70</v>
      </c>
      <c r="C41" t="s">
        <v>71</v>
      </c>
      <c r="D41" t="s">
        <v>72</v>
      </c>
      <c r="E41">
        <v>2300350</v>
      </c>
      <c r="F41" s="1">
        <v>44937</v>
      </c>
      <c r="G41" s="1">
        <v>44943</v>
      </c>
      <c r="H41">
        <v>519</v>
      </c>
      <c r="I41">
        <v>5</v>
      </c>
      <c r="J41">
        <v>14244</v>
      </c>
      <c r="K41">
        <v>71</v>
      </c>
      <c r="L41">
        <v>1584</v>
      </c>
      <c r="M41">
        <v>953</v>
      </c>
      <c r="N41">
        <v>0</v>
      </c>
      <c r="O41">
        <v>0</v>
      </c>
      <c r="P41">
        <v>0</v>
      </c>
      <c r="Q41">
        <v>0</v>
      </c>
      <c r="R41">
        <v>3444</v>
      </c>
      <c r="S41">
        <v>0</v>
      </c>
      <c r="T41">
        <v>0</v>
      </c>
      <c r="U41">
        <v>0</v>
      </c>
      <c r="V41">
        <v>1527</v>
      </c>
      <c r="W41">
        <v>5</v>
      </c>
      <c r="X41">
        <v>3110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524</v>
      </c>
      <c r="AE41">
        <v>0</v>
      </c>
      <c r="AF41">
        <v>100</v>
      </c>
      <c r="AG41">
        <v>0</v>
      </c>
      <c r="AH41">
        <v>31</v>
      </c>
      <c r="AI41">
        <v>0</v>
      </c>
      <c r="AJ41">
        <v>0</v>
      </c>
      <c r="AK41">
        <f t="shared" si="0"/>
        <v>26117</v>
      </c>
    </row>
    <row r="42" spans="1:37" x14ac:dyDescent="0.3">
      <c r="A42">
        <v>118</v>
      </c>
      <c r="B42" t="s">
        <v>70</v>
      </c>
      <c r="C42" t="s">
        <v>71</v>
      </c>
      <c r="D42" t="s">
        <v>72</v>
      </c>
      <c r="E42">
        <v>2300350</v>
      </c>
      <c r="F42" s="1">
        <v>44943</v>
      </c>
      <c r="G42" s="1">
        <v>44950</v>
      </c>
      <c r="H42">
        <v>347</v>
      </c>
      <c r="I42">
        <v>9</v>
      </c>
      <c r="J42">
        <v>16370</v>
      </c>
      <c r="K42">
        <v>106</v>
      </c>
      <c r="L42">
        <v>1213</v>
      </c>
      <c r="M42">
        <v>1304</v>
      </c>
      <c r="N42">
        <v>0</v>
      </c>
      <c r="O42">
        <v>0</v>
      </c>
      <c r="P42">
        <v>0</v>
      </c>
      <c r="Q42">
        <v>0</v>
      </c>
      <c r="R42">
        <v>3564</v>
      </c>
      <c r="S42">
        <v>0</v>
      </c>
      <c r="T42">
        <v>0</v>
      </c>
      <c r="U42">
        <v>0</v>
      </c>
      <c r="V42">
        <v>2512</v>
      </c>
      <c r="W42">
        <v>40</v>
      </c>
      <c r="X42">
        <v>2380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244</v>
      </c>
      <c r="AE42">
        <v>0</v>
      </c>
      <c r="AF42">
        <v>47</v>
      </c>
      <c r="AG42">
        <v>0</v>
      </c>
      <c r="AH42">
        <v>54</v>
      </c>
      <c r="AI42">
        <v>0</v>
      </c>
      <c r="AJ42">
        <v>0</v>
      </c>
      <c r="AK42">
        <f t="shared" si="0"/>
        <v>28190</v>
      </c>
    </row>
    <row r="43" spans="1:37" x14ac:dyDescent="0.3">
      <c r="A43">
        <v>121</v>
      </c>
      <c r="B43" t="s">
        <v>70</v>
      </c>
      <c r="C43" t="s">
        <v>71</v>
      </c>
      <c r="D43" t="s">
        <v>72</v>
      </c>
      <c r="E43">
        <v>2300250</v>
      </c>
      <c r="F43" s="1">
        <v>44951</v>
      </c>
      <c r="G43" s="1">
        <v>44957</v>
      </c>
      <c r="H43">
        <v>47</v>
      </c>
      <c r="I43">
        <v>3</v>
      </c>
      <c r="J43">
        <v>11730</v>
      </c>
      <c r="K43">
        <v>52</v>
      </c>
      <c r="L43">
        <v>607</v>
      </c>
      <c r="M43">
        <v>750</v>
      </c>
      <c r="N43">
        <v>0</v>
      </c>
      <c r="O43">
        <v>0</v>
      </c>
      <c r="P43">
        <v>0</v>
      </c>
      <c r="Q43">
        <v>0</v>
      </c>
      <c r="R43">
        <v>3100</v>
      </c>
      <c r="S43">
        <v>0</v>
      </c>
      <c r="T43">
        <v>0</v>
      </c>
      <c r="U43">
        <v>0</v>
      </c>
      <c r="V43">
        <v>2541</v>
      </c>
      <c r="W43">
        <v>90</v>
      </c>
      <c r="X43">
        <v>771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676</v>
      </c>
      <c r="AE43">
        <v>0</v>
      </c>
      <c r="AF43">
        <v>46</v>
      </c>
      <c r="AG43">
        <v>6</v>
      </c>
      <c r="AH43">
        <v>135</v>
      </c>
      <c r="AI43">
        <v>0</v>
      </c>
      <c r="AJ43">
        <v>0</v>
      </c>
      <c r="AK43">
        <f t="shared" si="0"/>
        <v>20554</v>
      </c>
    </row>
    <row r="44" spans="1:37" x14ac:dyDescent="0.3">
      <c r="A44">
        <v>124</v>
      </c>
      <c r="B44" t="s">
        <v>70</v>
      </c>
      <c r="C44" t="s">
        <v>71</v>
      </c>
      <c r="D44" t="s">
        <v>72</v>
      </c>
      <c r="E44">
        <v>2300250</v>
      </c>
      <c r="F44" s="1">
        <v>44958</v>
      </c>
      <c r="G44" s="1">
        <v>44964</v>
      </c>
      <c r="H44">
        <v>95</v>
      </c>
      <c r="I44">
        <v>1</v>
      </c>
      <c r="J44">
        <v>11273</v>
      </c>
      <c r="K44">
        <v>91</v>
      </c>
      <c r="L44">
        <v>165</v>
      </c>
      <c r="M44">
        <v>1018</v>
      </c>
      <c r="N44">
        <v>0</v>
      </c>
      <c r="O44">
        <v>4</v>
      </c>
      <c r="P44">
        <v>0</v>
      </c>
      <c r="Q44">
        <v>0</v>
      </c>
      <c r="R44">
        <v>3036</v>
      </c>
      <c r="S44">
        <v>2</v>
      </c>
      <c r="T44">
        <v>0</v>
      </c>
      <c r="U44">
        <v>0</v>
      </c>
      <c r="V44">
        <v>1295</v>
      </c>
      <c r="W44">
        <v>18</v>
      </c>
      <c r="X44">
        <v>954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218</v>
      </c>
      <c r="AE44">
        <v>0</v>
      </c>
      <c r="AF44">
        <v>19</v>
      </c>
      <c r="AG44">
        <v>0</v>
      </c>
      <c r="AH44">
        <v>19</v>
      </c>
      <c r="AI44">
        <v>0</v>
      </c>
      <c r="AJ44">
        <v>0</v>
      </c>
      <c r="AK44">
        <f t="shared" si="0"/>
        <v>18208</v>
      </c>
    </row>
    <row r="45" spans="1:37" x14ac:dyDescent="0.3">
      <c r="A45">
        <v>127</v>
      </c>
      <c r="B45" t="s">
        <v>70</v>
      </c>
      <c r="C45" t="s">
        <v>71</v>
      </c>
      <c r="D45" t="s">
        <v>72</v>
      </c>
      <c r="E45">
        <v>2300250</v>
      </c>
      <c r="F45" s="1">
        <v>44965</v>
      </c>
      <c r="G45" s="1">
        <v>44971</v>
      </c>
      <c r="H45">
        <v>26</v>
      </c>
      <c r="I45">
        <v>0</v>
      </c>
      <c r="J45">
        <v>23802</v>
      </c>
      <c r="K45">
        <v>278</v>
      </c>
      <c r="L45">
        <v>130</v>
      </c>
      <c r="M45">
        <v>196</v>
      </c>
      <c r="N45">
        <v>0</v>
      </c>
      <c r="O45">
        <v>0</v>
      </c>
      <c r="P45">
        <v>0</v>
      </c>
      <c r="Q45">
        <v>0</v>
      </c>
      <c r="R45">
        <v>52</v>
      </c>
      <c r="S45">
        <v>407</v>
      </c>
      <c r="T45">
        <v>0</v>
      </c>
      <c r="U45">
        <v>0</v>
      </c>
      <c r="V45">
        <v>31</v>
      </c>
      <c r="W45">
        <v>0</v>
      </c>
      <c r="X45">
        <v>95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166</v>
      </c>
      <c r="AE45">
        <v>0</v>
      </c>
      <c r="AF45">
        <v>12</v>
      </c>
      <c r="AG45">
        <v>0</v>
      </c>
      <c r="AH45">
        <v>0</v>
      </c>
      <c r="AI45">
        <v>0</v>
      </c>
      <c r="AJ45">
        <v>0</v>
      </c>
      <c r="AK45">
        <f t="shared" si="0"/>
        <v>25195</v>
      </c>
    </row>
    <row r="46" spans="1:37" x14ac:dyDescent="0.3">
      <c r="A46">
        <v>130</v>
      </c>
      <c r="B46" t="s">
        <v>70</v>
      </c>
      <c r="C46" t="s">
        <v>71</v>
      </c>
      <c r="D46" t="s">
        <v>72</v>
      </c>
      <c r="E46">
        <v>2300250</v>
      </c>
      <c r="F46" s="1">
        <v>44972</v>
      </c>
      <c r="G46" s="1">
        <v>44979</v>
      </c>
      <c r="H46">
        <v>0</v>
      </c>
      <c r="I46">
        <v>0</v>
      </c>
      <c r="J46">
        <v>2399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f t="shared" si="0"/>
        <v>2399</v>
      </c>
    </row>
    <row r="47" spans="1:37" x14ac:dyDescent="0.3">
      <c r="A47">
        <v>130</v>
      </c>
      <c r="B47" t="s">
        <v>70</v>
      </c>
      <c r="C47" t="s">
        <v>71</v>
      </c>
      <c r="D47" t="s">
        <v>43</v>
      </c>
      <c r="E47">
        <v>2301591</v>
      </c>
      <c r="F47" s="1">
        <v>44972</v>
      </c>
      <c r="G47" s="1">
        <v>44979</v>
      </c>
      <c r="H47">
        <v>184</v>
      </c>
      <c r="I47">
        <v>0</v>
      </c>
      <c r="J47">
        <v>5679</v>
      </c>
      <c r="K47">
        <v>30</v>
      </c>
      <c r="L47">
        <v>154</v>
      </c>
      <c r="M47">
        <v>138</v>
      </c>
      <c r="N47">
        <v>0</v>
      </c>
      <c r="O47">
        <v>0</v>
      </c>
      <c r="P47">
        <v>0</v>
      </c>
      <c r="Q47">
        <v>0</v>
      </c>
      <c r="R47">
        <v>160</v>
      </c>
      <c r="S47">
        <v>0</v>
      </c>
      <c r="T47">
        <v>0</v>
      </c>
      <c r="U47">
        <v>0</v>
      </c>
      <c r="V47">
        <v>274</v>
      </c>
      <c r="W47">
        <v>0</v>
      </c>
      <c r="X47">
        <v>1447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438</v>
      </c>
      <c r="AE47">
        <v>16</v>
      </c>
      <c r="AF47">
        <v>200</v>
      </c>
      <c r="AG47">
        <v>0</v>
      </c>
      <c r="AH47">
        <v>51</v>
      </c>
      <c r="AI47">
        <v>0</v>
      </c>
      <c r="AJ47">
        <v>0</v>
      </c>
      <c r="AK47">
        <f t="shared" si="0"/>
        <v>8771</v>
      </c>
    </row>
    <row r="48" spans="1:37" x14ac:dyDescent="0.3">
      <c r="A48">
        <v>133</v>
      </c>
      <c r="B48" t="s">
        <v>70</v>
      </c>
      <c r="C48" t="s">
        <v>71</v>
      </c>
      <c r="D48" t="s">
        <v>43</v>
      </c>
      <c r="E48">
        <v>2301591</v>
      </c>
      <c r="F48" s="1">
        <v>44980</v>
      </c>
      <c r="G48" s="1">
        <v>44987</v>
      </c>
      <c r="H48">
        <v>201</v>
      </c>
      <c r="I48">
        <v>0</v>
      </c>
      <c r="J48">
        <v>11179</v>
      </c>
      <c r="K48">
        <v>388</v>
      </c>
      <c r="L48">
        <v>233</v>
      </c>
      <c r="M48">
        <v>114</v>
      </c>
      <c r="N48">
        <v>0</v>
      </c>
      <c r="O48">
        <v>0</v>
      </c>
      <c r="P48">
        <v>0</v>
      </c>
      <c r="Q48">
        <v>0</v>
      </c>
      <c r="R48">
        <v>32</v>
      </c>
      <c r="S48">
        <v>0</v>
      </c>
      <c r="T48">
        <v>0</v>
      </c>
      <c r="U48">
        <v>0</v>
      </c>
      <c r="V48">
        <v>384</v>
      </c>
      <c r="W48">
        <v>8</v>
      </c>
      <c r="X48">
        <v>3247</v>
      </c>
      <c r="Y48">
        <v>0</v>
      </c>
      <c r="Z48">
        <v>2.59</v>
      </c>
      <c r="AA48">
        <v>0</v>
      </c>
      <c r="AB48">
        <f>10*2.59</f>
        <v>25.9</v>
      </c>
      <c r="AC48">
        <v>0</v>
      </c>
      <c r="AD48">
        <v>334</v>
      </c>
      <c r="AE48">
        <v>0</v>
      </c>
      <c r="AF48">
        <v>142</v>
      </c>
      <c r="AG48">
        <v>0</v>
      </c>
      <c r="AH48">
        <v>69</v>
      </c>
      <c r="AI48">
        <v>0</v>
      </c>
      <c r="AJ48">
        <v>0</v>
      </c>
      <c r="AK48">
        <f t="shared" si="0"/>
        <v>16359.49</v>
      </c>
    </row>
    <row r="49" spans="1:37" x14ac:dyDescent="0.3">
      <c r="A49">
        <v>136</v>
      </c>
      <c r="B49" t="s">
        <v>70</v>
      </c>
      <c r="C49" t="s">
        <v>71</v>
      </c>
      <c r="D49" t="s">
        <v>81</v>
      </c>
      <c r="E49">
        <v>2303706</v>
      </c>
      <c r="F49" s="1">
        <v>45040</v>
      </c>
      <c r="G49" s="10">
        <v>45048</v>
      </c>
      <c r="H49">
        <v>18</v>
      </c>
      <c r="I49">
        <v>4</v>
      </c>
      <c r="J49">
        <v>9347</v>
      </c>
      <c r="K49">
        <v>93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724</v>
      </c>
      <c r="S49">
        <v>0</v>
      </c>
      <c r="T49">
        <v>0</v>
      </c>
      <c r="U49">
        <v>0</v>
      </c>
      <c r="V49">
        <v>1029</v>
      </c>
      <c r="W49">
        <v>184</v>
      </c>
      <c r="X49">
        <v>1305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874</v>
      </c>
      <c r="AE49">
        <v>0</v>
      </c>
      <c r="AF49">
        <v>191</v>
      </c>
      <c r="AG49">
        <v>0</v>
      </c>
      <c r="AH49">
        <v>571</v>
      </c>
      <c r="AI49">
        <v>0</v>
      </c>
      <c r="AJ49">
        <v>0</v>
      </c>
      <c r="AK49">
        <f t="shared" si="0"/>
        <v>14341</v>
      </c>
    </row>
    <row r="50" spans="1:37" x14ac:dyDescent="0.3">
      <c r="A50">
        <v>139</v>
      </c>
      <c r="B50" t="s">
        <v>70</v>
      </c>
      <c r="C50" t="s">
        <v>71</v>
      </c>
      <c r="D50" t="s">
        <v>81</v>
      </c>
      <c r="E50">
        <v>2303706</v>
      </c>
      <c r="F50" s="10">
        <v>45047</v>
      </c>
      <c r="G50" s="1">
        <v>45054</v>
      </c>
      <c r="H50">
        <v>90</v>
      </c>
      <c r="I50">
        <v>2</v>
      </c>
      <c r="J50">
        <v>17124</v>
      </c>
      <c r="K50">
        <v>38</v>
      </c>
      <c r="L50">
        <v>639</v>
      </c>
      <c r="M50">
        <v>550</v>
      </c>
      <c r="N50">
        <v>0</v>
      </c>
      <c r="O50">
        <v>4</v>
      </c>
      <c r="P50">
        <v>0</v>
      </c>
      <c r="Q50">
        <v>0</v>
      </c>
      <c r="R50">
        <v>1144</v>
      </c>
      <c r="S50">
        <v>0</v>
      </c>
      <c r="T50">
        <v>0</v>
      </c>
      <c r="U50">
        <v>0</v>
      </c>
      <c r="V50">
        <v>1831</v>
      </c>
      <c r="W50">
        <v>56</v>
      </c>
      <c r="X50">
        <v>660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1016</v>
      </c>
      <c r="AE50">
        <v>0</v>
      </c>
      <c r="AF50">
        <v>221</v>
      </c>
      <c r="AG50">
        <v>0</v>
      </c>
      <c r="AH50">
        <v>107</v>
      </c>
      <c r="AI50">
        <v>0</v>
      </c>
      <c r="AJ50">
        <v>0</v>
      </c>
      <c r="AK50">
        <f t="shared" si="0"/>
        <v>23482</v>
      </c>
    </row>
    <row r="51" spans="1:37" x14ac:dyDescent="0.3">
      <c r="A51">
        <v>142</v>
      </c>
      <c r="B51" t="s">
        <v>70</v>
      </c>
      <c r="C51" t="s">
        <v>71</v>
      </c>
      <c r="D51" t="s">
        <v>81</v>
      </c>
      <c r="E51">
        <v>2303706</v>
      </c>
      <c r="F51" s="1">
        <v>45054</v>
      </c>
      <c r="G51" s="1">
        <v>45060</v>
      </c>
      <c r="H51">
        <v>26</v>
      </c>
      <c r="I51">
        <v>0</v>
      </c>
      <c r="J51">
        <v>4684</v>
      </c>
      <c r="K51">
        <v>3</v>
      </c>
      <c r="L51">
        <v>24</v>
      </c>
      <c r="M51">
        <v>0</v>
      </c>
      <c r="N51">
        <v>0</v>
      </c>
      <c r="O51">
        <v>0</v>
      </c>
      <c r="P51">
        <v>0</v>
      </c>
      <c r="Q51">
        <v>0</v>
      </c>
      <c r="R51">
        <v>60</v>
      </c>
      <c r="S51">
        <v>0</v>
      </c>
      <c r="T51">
        <v>0</v>
      </c>
      <c r="U51">
        <v>0</v>
      </c>
      <c r="V51">
        <v>631</v>
      </c>
      <c r="W51">
        <v>49</v>
      </c>
      <c r="X51">
        <v>66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238</v>
      </c>
      <c r="AE51">
        <v>0</v>
      </c>
      <c r="AF51">
        <v>33</v>
      </c>
      <c r="AG51">
        <v>0</v>
      </c>
      <c r="AH51">
        <v>151</v>
      </c>
      <c r="AI51">
        <v>0</v>
      </c>
      <c r="AJ51">
        <v>0</v>
      </c>
      <c r="AK51">
        <f t="shared" si="0"/>
        <v>5965</v>
      </c>
    </row>
    <row r="52" spans="1:37" x14ac:dyDescent="0.3">
      <c r="A52">
        <v>145</v>
      </c>
      <c r="B52" t="s">
        <v>70</v>
      </c>
      <c r="C52" t="s">
        <v>71</v>
      </c>
      <c r="D52" t="s">
        <v>81</v>
      </c>
      <c r="E52">
        <v>2303706</v>
      </c>
      <c r="F52" s="1">
        <v>45060</v>
      </c>
      <c r="G52" s="1">
        <v>45068</v>
      </c>
      <c r="H52">
        <v>156</v>
      </c>
      <c r="I52">
        <v>0</v>
      </c>
      <c r="J52">
        <v>11922</v>
      </c>
      <c r="K52">
        <v>59</v>
      </c>
      <c r="L52">
        <v>143</v>
      </c>
      <c r="M52">
        <v>76</v>
      </c>
      <c r="N52">
        <v>2</v>
      </c>
      <c r="O52">
        <v>0</v>
      </c>
      <c r="P52">
        <v>0</v>
      </c>
      <c r="Q52">
        <v>0</v>
      </c>
      <c r="R52">
        <v>680</v>
      </c>
      <c r="S52">
        <v>0</v>
      </c>
      <c r="T52">
        <v>0</v>
      </c>
      <c r="U52">
        <v>6</v>
      </c>
      <c r="V52">
        <v>1193</v>
      </c>
      <c r="W52">
        <v>43</v>
      </c>
      <c r="X52">
        <v>3934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1284</v>
      </c>
      <c r="AE52">
        <v>0</v>
      </c>
      <c r="AF52">
        <v>269</v>
      </c>
      <c r="AG52">
        <v>0</v>
      </c>
      <c r="AH52">
        <v>334</v>
      </c>
      <c r="AI52">
        <v>0</v>
      </c>
      <c r="AJ52">
        <v>0</v>
      </c>
      <c r="AK52">
        <f t="shared" si="0"/>
        <v>20101</v>
      </c>
    </row>
    <row r="53" spans="1:37" x14ac:dyDescent="0.3">
      <c r="A53">
        <v>148</v>
      </c>
      <c r="B53" t="s">
        <v>70</v>
      </c>
      <c r="C53" t="s">
        <v>71</v>
      </c>
      <c r="D53" t="s">
        <v>7</v>
      </c>
      <c r="E53">
        <v>2300465</v>
      </c>
      <c r="F53" s="11">
        <v>45068</v>
      </c>
      <c r="G53" s="1">
        <v>45075</v>
      </c>
      <c r="H53">
        <v>0</v>
      </c>
      <c r="I53">
        <v>0</v>
      </c>
      <c r="J53">
        <v>7030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f t="shared" si="0"/>
        <v>7030</v>
      </c>
    </row>
    <row r="54" spans="1:37" x14ac:dyDescent="0.3">
      <c r="A54">
        <v>148</v>
      </c>
      <c r="B54" t="s">
        <v>70</v>
      </c>
      <c r="C54" t="s">
        <v>71</v>
      </c>
      <c r="D54" t="s">
        <v>81</v>
      </c>
      <c r="E54">
        <v>2303706</v>
      </c>
      <c r="F54" s="11">
        <v>45068</v>
      </c>
      <c r="G54" s="1">
        <v>45075</v>
      </c>
      <c r="H54">
        <v>74</v>
      </c>
      <c r="I54">
        <v>1</v>
      </c>
      <c r="J54">
        <v>5179</v>
      </c>
      <c r="K54">
        <v>9</v>
      </c>
      <c r="L54">
        <v>126</v>
      </c>
      <c r="M54">
        <v>482</v>
      </c>
      <c r="N54">
        <v>0</v>
      </c>
      <c r="O54">
        <v>25</v>
      </c>
      <c r="P54">
        <v>0</v>
      </c>
      <c r="Q54">
        <v>0</v>
      </c>
      <c r="R54">
        <v>2664</v>
      </c>
      <c r="S54">
        <v>0</v>
      </c>
      <c r="T54">
        <v>0</v>
      </c>
      <c r="U54">
        <v>0</v>
      </c>
      <c r="V54">
        <v>1886</v>
      </c>
      <c r="W54">
        <v>31</v>
      </c>
      <c r="X54">
        <v>261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348</v>
      </c>
      <c r="AE54">
        <v>0</v>
      </c>
      <c r="AF54">
        <v>44</v>
      </c>
      <c r="AG54">
        <v>0</v>
      </c>
      <c r="AH54">
        <v>211</v>
      </c>
      <c r="AI54">
        <v>0</v>
      </c>
      <c r="AJ54">
        <v>0</v>
      </c>
      <c r="AK54">
        <f t="shared" si="0"/>
        <v>11341</v>
      </c>
    </row>
    <row r="55" spans="1:37" x14ac:dyDescent="0.3">
      <c r="A55">
        <v>151</v>
      </c>
      <c r="B55" t="s">
        <v>73</v>
      </c>
      <c r="C55" t="s">
        <v>74</v>
      </c>
      <c r="D55" t="s">
        <v>75</v>
      </c>
      <c r="E55">
        <v>2207320</v>
      </c>
      <c r="F55" s="1">
        <v>44923</v>
      </c>
      <c r="G55" s="1">
        <v>44929</v>
      </c>
      <c r="H55">
        <v>527</v>
      </c>
      <c r="I55">
        <v>65</v>
      </c>
      <c r="J55">
        <v>17057</v>
      </c>
      <c r="K55">
        <v>52</v>
      </c>
      <c r="L55">
        <v>528</v>
      </c>
      <c r="M55">
        <v>172</v>
      </c>
      <c r="N55">
        <v>0</v>
      </c>
      <c r="O55">
        <v>0</v>
      </c>
      <c r="P55">
        <v>0</v>
      </c>
      <c r="Q55">
        <v>0</v>
      </c>
      <c r="R55">
        <v>1484</v>
      </c>
      <c r="S55">
        <v>0</v>
      </c>
      <c r="T55">
        <v>0</v>
      </c>
      <c r="U55">
        <v>5</v>
      </c>
      <c r="V55">
        <v>1364</v>
      </c>
      <c r="W55">
        <v>810</v>
      </c>
      <c r="X55">
        <v>420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848</v>
      </c>
      <c r="AE55">
        <v>0</v>
      </c>
      <c r="AF55">
        <v>158</v>
      </c>
      <c r="AG55">
        <v>0</v>
      </c>
      <c r="AH55">
        <v>115</v>
      </c>
      <c r="AI55">
        <v>2</v>
      </c>
      <c r="AJ55">
        <v>0</v>
      </c>
      <c r="AK55">
        <f t="shared" si="0"/>
        <v>23607</v>
      </c>
    </row>
    <row r="56" spans="1:37" x14ac:dyDescent="0.3">
      <c r="A56">
        <v>154</v>
      </c>
      <c r="B56" t="s">
        <v>73</v>
      </c>
      <c r="C56" t="s">
        <v>74</v>
      </c>
      <c r="D56" t="s">
        <v>7</v>
      </c>
      <c r="E56">
        <v>2300514</v>
      </c>
      <c r="F56" s="1">
        <v>44932</v>
      </c>
      <c r="G56" s="1">
        <v>44936</v>
      </c>
      <c r="H56">
        <v>65</v>
      </c>
      <c r="I56">
        <v>2</v>
      </c>
      <c r="J56">
        <v>6609</v>
      </c>
      <c r="K56">
        <v>5</v>
      </c>
      <c r="L56">
        <v>51</v>
      </c>
      <c r="M56">
        <v>189</v>
      </c>
      <c r="N56">
        <v>0</v>
      </c>
      <c r="O56">
        <v>0</v>
      </c>
      <c r="P56">
        <v>0</v>
      </c>
      <c r="Q56">
        <v>0</v>
      </c>
      <c r="R56">
        <v>924</v>
      </c>
      <c r="S56">
        <v>0</v>
      </c>
      <c r="T56">
        <v>0</v>
      </c>
      <c r="U56">
        <v>0</v>
      </c>
      <c r="V56">
        <v>357</v>
      </c>
      <c r="W56">
        <v>0</v>
      </c>
      <c r="X56">
        <v>155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</v>
      </c>
      <c r="AE56">
        <v>0</v>
      </c>
      <c r="AF56">
        <v>27</v>
      </c>
      <c r="AG56">
        <v>0</v>
      </c>
      <c r="AH56">
        <v>2</v>
      </c>
      <c r="AI56">
        <v>0</v>
      </c>
      <c r="AJ56">
        <v>0</v>
      </c>
      <c r="AK56">
        <f t="shared" si="0"/>
        <v>8426</v>
      </c>
    </row>
    <row r="57" spans="1:37" x14ac:dyDescent="0.3">
      <c r="A57">
        <v>157</v>
      </c>
      <c r="B57" t="s">
        <v>73</v>
      </c>
      <c r="C57" t="s">
        <v>74</v>
      </c>
      <c r="D57" t="s">
        <v>38</v>
      </c>
      <c r="E57">
        <v>2302472</v>
      </c>
      <c r="F57" s="1">
        <v>44980</v>
      </c>
      <c r="G57" s="1">
        <v>44987</v>
      </c>
      <c r="H57">
        <v>156</v>
      </c>
      <c r="I57">
        <v>27</v>
      </c>
      <c r="J57">
        <v>11768</v>
      </c>
      <c r="K57">
        <v>11</v>
      </c>
      <c r="L57">
        <v>1524</v>
      </c>
      <c r="M57">
        <v>45</v>
      </c>
      <c r="N57">
        <v>0</v>
      </c>
      <c r="O57">
        <v>0</v>
      </c>
      <c r="P57">
        <v>0</v>
      </c>
      <c r="Q57">
        <v>0</v>
      </c>
      <c r="R57">
        <v>560</v>
      </c>
      <c r="S57">
        <v>0</v>
      </c>
      <c r="T57">
        <v>0</v>
      </c>
      <c r="U57">
        <v>0</v>
      </c>
      <c r="V57">
        <v>1161</v>
      </c>
      <c r="W57">
        <v>31</v>
      </c>
      <c r="X57">
        <v>1625</v>
      </c>
      <c r="Y57">
        <v>0</v>
      </c>
      <c r="Z57">
        <f>3*2.59</f>
        <v>7.77</v>
      </c>
      <c r="AA57">
        <v>0</v>
      </c>
      <c r="AB57">
        <f>48*2.59</f>
        <v>124.32</v>
      </c>
      <c r="AC57">
        <v>0</v>
      </c>
      <c r="AD57">
        <v>0</v>
      </c>
      <c r="AE57">
        <v>0</v>
      </c>
      <c r="AF57">
        <v>26</v>
      </c>
      <c r="AG57">
        <v>0</v>
      </c>
      <c r="AH57">
        <v>15</v>
      </c>
      <c r="AI57">
        <v>1</v>
      </c>
      <c r="AJ57">
        <v>0</v>
      </c>
      <c r="AK57">
        <f t="shared" si="0"/>
        <v>17082.09</v>
      </c>
    </row>
    <row r="58" spans="1:37" x14ac:dyDescent="0.3">
      <c r="A58">
        <v>160</v>
      </c>
      <c r="B58" t="s">
        <v>73</v>
      </c>
      <c r="C58" t="s">
        <v>74</v>
      </c>
      <c r="D58" t="s">
        <v>38</v>
      </c>
      <c r="E58">
        <v>2302472</v>
      </c>
      <c r="F58" s="1">
        <v>44987</v>
      </c>
      <c r="G58" s="1">
        <v>44995</v>
      </c>
      <c r="H58">
        <v>198</v>
      </c>
      <c r="I58">
        <v>16</v>
      </c>
      <c r="J58">
        <v>5482</v>
      </c>
      <c r="K58">
        <v>11</v>
      </c>
      <c r="L58">
        <v>35</v>
      </c>
      <c r="M58">
        <v>45</v>
      </c>
      <c r="N58">
        <v>0</v>
      </c>
      <c r="O58">
        <v>0</v>
      </c>
      <c r="P58">
        <v>0</v>
      </c>
      <c r="Q58">
        <v>0</v>
      </c>
      <c r="R58">
        <v>320</v>
      </c>
      <c r="S58">
        <v>0</v>
      </c>
      <c r="T58">
        <v>0</v>
      </c>
      <c r="U58">
        <v>0</v>
      </c>
      <c r="V58">
        <v>622</v>
      </c>
      <c r="W58">
        <v>6</v>
      </c>
      <c r="X58">
        <v>906</v>
      </c>
      <c r="Y58">
        <v>0</v>
      </c>
      <c r="Z58">
        <f>6*2.59</f>
        <v>15.54</v>
      </c>
      <c r="AA58">
        <v>0</v>
      </c>
      <c r="AB58">
        <f>110*2.59</f>
        <v>284.89999999999998</v>
      </c>
      <c r="AC58">
        <v>0</v>
      </c>
      <c r="AD58">
        <v>698</v>
      </c>
      <c r="AE58">
        <v>0</v>
      </c>
      <c r="AF58">
        <v>13</v>
      </c>
      <c r="AG58">
        <v>0</v>
      </c>
      <c r="AH58">
        <v>5</v>
      </c>
      <c r="AI58">
        <v>1</v>
      </c>
      <c r="AJ58">
        <v>0</v>
      </c>
      <c r="AK58">
        <f t="shared" si="0"/>
        <v>8658.4399999999987</v>
      </c>
    </row>
    <row r="59" spans="1:37" x14ac:dyDescent="0.3">
      <c r="A59">
        <v>163</v>
      </c>
      <c r="B59" t="s">
        <v>73</v>
      </c>
      <c r="C59" t="s">
        <v>74</v>
      </c>
      <c r="D59" t="s">
        <v>38</v>
      </c>
      <c r="E59">
        <v>2302472</v>
      </c>
      <c r="F59" s="1">
        <v>44995</v>
      </c>
      <c r="G59" s="1">
        <v>45001</v>
      </c>
      <c r="H59">
        <v>25</v>
      </c>
      <c r="I59">
        <v>12</v>
      </c>
      <c r="J59">
        <v>9627</v>
      </c>
      <c r="K59">
        <v>29</v>
      </c>
      <c r="L59">
        <v>69</v>
      </c>
      <c r="M59">
        <v>660</v>
      </c>
      <c r="N59">
        <v>4</v>
      </c>
      <c r="O59">
        <v>0</v>
      </c>
      <c r="P59">
        <v>0</v>
      </c>
      <c r="Q59">
        <v>0</v>
      </c>
      <c r="R59">
        <v>924</v>
      </c>
      <c r="S59">
        <v>14</v>
      </c>
      <c r="T59">
        <v>0</v>
      </c>
      <c r="U59">
        <v>0</v>
      </c>
      <c r="V59">
        <v>395</v>
      </c>
      <c r="W59">
        <v>5</v>
      </c>
      <c r="X59">
        <v>35</v>
      </c>
      <c r="Y59">
        <v>0</v>
      </c>
      <c r="Z59">
        <v>2.59</v>
      </c>
      <c r="AA59">
        <v>0</v>
      </c>
      <c r="AB59">
        <f>14*2.59</f>
        <v>36.26</v>
      </c>
      <c r="AC59">
        <v>0</v>
      </c>
      <c r="AD59">
        <v>148</v>
      </c>
      <c r="AE59">
        <v>0</v>
      </c>
      <c r="AF59">
        <v>106</v>
      </c>
      <c r="AG59">
        <v>0</v>
      </c>
      <c r="AH59">
        <v>190</v>
      </c>
      <c r="AI59">
        <v>0</v>
      </c>
      <c r="AJ59">
        <v>0</v>
      </c>
      <c r="AK59">
        <f t="shared" si="0"/>
        <v>12281.85</v>
      </c>
    </row>
    <row r="60" spans="1:37" x14ac:dyDescent="0.3">
      <c r="A60">
        <v>166</v>
      </c>
      <c r="B60" t="s">
        <v>73</v>
      </c>
      <c r="C60" t="s">
        <v>74</v>
      </c>
      <c r="D60" t="s">
        <v>38</v>
      </c>
      <c r="E60">
        <v>2302472</v>
      </c>
      <c r="F60" s="1">
        <v>45003</v>
      </c>
      <c r="G60" s="1">
        <v>45009</v>
      </c>
      <c r="H60">
        <v>21</v>
      </c>
      <c r="I60">
        <v>3</v>
      </c>
      <c r="J60">
        <v>5933</v>
      </c>
      <c r="K60">
        <v>33</v>
      </c>
      <c r="L60">
        <v>1444</v>
      </c>
      <c r="M60">
        <v>100</v>
      </c>
      <c r="N60">
        <v>0</v>
      </c>
      <c r="O60">
        <v>0</v>
      </c>
      <c r="P60">
        <v>0</v>
      </c>
      <c r="Q60">
        <v>0</v>
      </c>
      <c r="R60">
        <v>680</v>
      </c>
      <c r="S60">
        <v>5</v>
      </c>
      <c r="T60">
        <v>0</v>
      </c>
      <c r="U60">
        <v>0</v>
      </c>
      <c r="V60">
        <v>364</v>
      </c>
      <c r="W60">
        <v>47</v>
      </c>
      <c r="X60">
        <v>3364</v>
      </c>
      <c r="Y60">
        <v>0</v>
      </c>
      <c r="Z60">
        <f>5*2.59</f>
        <v>12.95</v>
      </c>
      <c r="AA60">
        <v>0</v>
      </c>
      <c r="AB60">
        <f>98*2.59</f>
        <v>253.82</v>
      </c>
      <c r="AC60">
        <v>0</v>
      </c>
      <c r="AD60">
        <v>158</v>
      </c>
      <c r="AE60">
        <v>0</v>
      </c>
      <c r="AF60">
        <v>383</v>
      </c>
      <c r="AG60">
        <v>0</v>
      </c>
      <c r="AH60">
        <v>69</v>
      </c>
      <c r="AI60">
        <v>0</v>
      </c>
      <c r="AJ60">
        <v>0</v>
      </c>
      <c r="AK60">
        <f t="shared" si="0"/>
        <v>12870.77</v>
      </c>
    </row>
    <row r="61" spans="1:37" x14ac:dyDescent="0.3">
      <c r="A61">
        <v>169</v>
      </c>
      <c r="B61" t="s">
        <v>73</v>
      </c>
      <c r="C61" t="s">
        <v>74</v>
      </c>
      <c r="D61" t="s">
        <v>76</v>
      </c>
      <c r="E61">
        <v>2302610</v>
      </c>
      <c r="F61" s="1">
        <v>45013</v>
      </c>
      <c r="G61" s="1">
        <v>45019</v>
      </c>
      <c r="H61">
        <v>247</v>
      </c>
      <c r="I61">
        <v>117</v>
      </c>
      <c r="J61">
        <v>13220</v>
      </c>
      <c r="K61">
        <v>35</v>
      </c>
      <c r="L61">
        <v>783</v>
      </c>
      <c r="M61">
        <v>1455</v>
      </c>
      <c r="N61">
        <v>0</v>
      </c>
      <c r="O61">
        <v>4</v>
      </c>
      <c r="P61">
        <v>0</v>
      </c>
      <c r="Q61">
        <v>0</v>
      </c>
      <c r="R61">
        <v>3332</v>
      </c>
      <c r="S61">
        <v>0</v>
      </c>
      <c r="T61">
        <v>0</v>
      </c>
      <c r="U61">
        <v>0</v>
      </c>
      <c r="V61">
        <v>1085</v>
      </c>
      <c r="W61">
        <v>24</v>
      </c>
      <c r="X61">
        <v>1008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818</v>
      </c>
      <c r="AE61">
        <v>0</v>
      </c>
      <c r="AF61">
        <v>30</v>
      </c>
      <c r="AG61">
        <v>0</v>
      </c>
      <c r="AH61">
        <v>527</v>
      </c>
      <c r="AI61">
        <v>0</v>
      </c>
      <c r="AJ61">
        <v>0</v>
      </c>
      <c r="AK61">
        <f t="shared" si="0"/>
        <v>22685</v>
      </c>
    </row>
    <row r="62" spans="1:37" x14ac:dyDescent="0.3">
      <c r="A62">
        <v>172</v>
      </c>
      <c r="B62" t="s">
        <v>73</v>
      </c>
      <c r="C62" t="s">
        <v>74</v>
      </c>
      <c r="D62" t="s">
        <v>76</v>
      </c>
      <c r="E62">
        <v>2302610</v>
      </c>
      <c r="F62" s="1">
        <v>45019</v>
      </c>
      <c r="G62" s="1">
        <v>45026</v>
      </c>
      <c r="H62">
        <v>885</v>
      </c>
      <c r="I62">
        <v>83</v>
      </c>
      <c r="J62">
        <v>14428</v>
      </c>
      <c r="K62">
        <v>82</v>
      </c>
      <c r="L62">
        <v>419</v>
      </c>
      <c r="M62">
        <v>2195</v>
      </c>
      <c r="N62">
        <v>0</v>
      </c>
      <c r="O62">
        <v>0</v>
      </c>
      <c r="P62">
        <v>0</v>
      </c>
      <c r="Q62">
        <v>0</v>
      </c>
      <c r="R62">
        <v>2264</v>
      </c>
      <c r="S62">
        <v>0</v>
      </c>
      <c r="T62">
        <v>0</v>
      </c>
      <c r="U62">
        <v>0</v>
      </c>
      <c r="V62">
        <v>1434</v>
      </c>
      <c r="W62">
        <v>2</v>
      </c>
      <c r="X62">
        <v>986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1130</v>
      </c>
      <c r="AE62">
        <v>0</v>
      </c>
      <c r="AF62">
        <v>145</v>
      </c>
      <c r="AG62">
        <v>0</v>
      </c>
      <c r="AH62">
        <v>406</v>
      </c>
      <c r="AI62">
        <v>0</v>
      </c>
      <c r="AJ62">
        <v>0</v>
      </c>
      <c r="AK62">
        <f t="shared" si="0"/>
        <v>24459</v>
      </c>
    </row>
    <row r="63" spans="1:37" x14ac:dyDescent="0.3">
      <c r="A63">
        <v>175</v>
      </c>
      <c r="B63" t="s">
        <v>73</v>
      </c>
      <c r="C63" t="s">
        <v>74</v>
      </c>
      <c r="D63" t="s">
        <v>76</v>
      </c>
      <c r="E63">
        <v>2302610</v>
      </c>
      <c r="F63" s="1">
        <v>45027</v>
      </c>
      <c r="G63" s="1">
        <v>45033</v>
      </c>
      <c r="H63">
        <v>278</v>
      </c>
      <c r="I63">
        <v>215</v>
      </c>
      <c r="J63">
        <v>11981</v>
      </c>
      <c r="K63">
        <v>52</v>
      </c>
      <c r="L63">
        <v>71</v>
      </c>
      <c r="M63">
        <v>165</v>
      </c>
      <c r="N63">
        <v>0</v>
      </c>
      <c r="O63">
        <v>0</v>
      </c>
      <c r="P63">
        <v>0</v>
      </c>
      <c r="Q63">
        <v>0</v>
      </c>
      <c r="R63">
        <v>864</v>
      </c>
      <c r="S63">
        <v>0</v>
      </c>
      <c r="T63">
        <v>0</v>
      </c>
      <c r="U63">
        <v>0</v>
      </c>
      <c r="V63">
        <v>899</v>
      </c>
      <c r="W63">
        <v>3</v>
      </c>
      <c r="X63">
        <v>282</v>
      </c>
      <c r="Y63">
        <v>0</v>
      </c>
      <c r="Z63">
        <v>2.59</v>
      </c>
      <c r="AA63">
        <v>0</v>
      </c>
      <c r="AB63">
        <f>27*2.59</f>
        <v>69.929999999999993</v>
      </c>
      <c r="AC63">
        <v>0</v>
      </c>
      <c r="AD63">
        <v>1032</v>
      </c>
      <c r="AE63">
        <v>0</v>
      </c>
      <c r="AF63">
        <v>243</v>
      </c>
      <c r="AG63">
        <v>0</v>
      </c>
      <c r="AH63">
        <v>505</v>
      </c>
      <c r="AI63">
        <v>1</v>
      </c>
      <c r="AJ63">
        <v>0</v>
      </c>
      <c r="AK63">
        <f t="shared" si="0"/>
        <v>16663.52</v>
      </c>
    </row>
    <row r="64" spans="1:37" x14ac:dyDescent="0.3">
      <c r="A64">
        <v>178</v>
      </c>
      <c r="B64" t="s">
        <v>73</v>
      </c>
      <c r="C64" t="s">
        <v>74</v>
      </c>
      <c r="D64" t="s">
        <v>76</v>
      </c>
      <c r="E64">
        <v>2302610</v>
      </c>
      <c r="F64" s="1">
        <v>45033</v>
      </c>
      <c r="G64" s="1">
        <v>45040</v>
      </c>
      <c r="H64">
        <v>197</v>
      </c>
      <c r="I64">
        <v>195</v>
      </c>
      <c r="J64">
        <v>9606</v>
      </c>
      <c r="K64">
        <v>61</v>
      </c>
      <c r="L64">
        <v>202</v>
      </c>
      <c r="M64">
        <v>1565</v>
      </c>
      <c r="N64">
        <v>68</v>
      </c>
      <c r="O64">
        <v>0</v>
      </c>
      <c r="P64">
        <v>0</v>
      </c>
      <c r="Q64">
        <v>0</v>
      </c>
      <c r="R64">
        <v>828</v>
      </c>
      <c r="S64">
        <v>0</v>
      </c>
      <c r="T64">
        <v>0</v>
      </c>
      <c r="U64">
        <v>0</v>
      </c>
      <c r="V64">
        <v>979</v>
      </c>
      <c r="W64">
        <v>3</v>
      </c>
      <c r="X64">
        <v>2194</v>
      </c>
      <c r="Y64">
        <v>0</v>
      </c>
      <c r="Z64">
        <v>2.59</v>
      </c>
      <c r="AA64">
        <v>0</v>
      </c>
      <c r="AB64">
        <f>2.59*13</f>
        <v>33.67</v>
      </c>
      <c r="AC64">
        <v>0</v>
      </c>
      <c r="AD64">
        <v>342</v>
      </c>
      <c r="AE64">
        <v>0</v>
      </c>
      <c r="AF64">
        <v>77</v>
      </c>
      <c r="AG64">
        <v>0</v>
      </c>
      <c r="AH64">
        <v>455</v>
      </c>
      <c r="AI64">
        <v>0</v>
      </c>
      <c r="AJ64">
        <v>0</v>
      </c>
      <c r="AK64">
        <f t="shared" si="0"/>
        <v>16808.260000000002</v>
      </c>
    </row>
    <row r="65" spans="1:37" x14ac:dyDescent="0.3">
      <c r="A65">
        <v>181</v>
      </c>
      <c r="B65" t="s">
        <v>73</v>
      </c>
      <c r="C65" t="s">
        <v>74</v>
      </c>
      <c r="D65" t="s">
        <v>76</v>
      </c>
      <c r="E65">
        <v>2302610</v>
      </c>
      <c r="F65" s="1">
        <v>45040</v>
      </c>
      <c r="G65" s="1">
        <v>45048</v>
      </c>
      <c r="H65">
        <v>135</v>
      </c>
      <c r="I65">
        <v>135</v>
      </c>
      <c r="J65">
        <v>4389</v>
      </c>
      <c r="K65">
        <v>50</v>
      </c>
      <c r="L65">
        <v>53</v>
      </c>
      <c r="M65">
        <v>0</v>
      </c>
      <c r="N65">
        <v>0</v>
      </c>
      <c r="O65">
        <v>0</v>
      </c>
      <c r="P65">
        <v>0</v>
      </c>
      <c r="Q65">
        <v>0</v>
      </c>
      <c r="R65">
        <v>312</v>
      </c>
      <c r="S65">
        <v>0</v>
      </c>
      <c r="T65">
        <v>0</v>
      </c>
      <c r="U65">
        <v>0</v>
      </c>
      <c r="V65">
        <v>1186</v>
      </c>
      <c r="W65">
        <v>95</v>
      </c>
      <c r="X65">
        <v>1012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1424</v>
      </c>
      <c r="AE65">
        <v>0</v>
      </c>
      <c r="AF65">
        <v>101</v>
      </c>
      <c r="AG65">
        <v>0</v>
      </c>
      <c r="AH65">
        <v>336</v>
      </c>
      <c r="AI65">
        <v>1</v>
      </c>
      <c r="AJ65">
        <v>0</v>
      </c>
      <c r="AK65">
        <f t="shared" si="0"/>
        <v>9229</v>
      </c>
    </row>
    <row r="66" spans="1:37" x14ac:dyDescent="0.3">
      <c r="A66">
        <v>184</v>
      </c>
      <c r="B66" t="s">
        <v>73</v>
      </c>
      <c r="C66" t="s">
        <v>74</v>
      </c>
      <c r="D66" t="s">
        <v>7</v>
      </c>
      <c r="E66">
        <v>2300514</v>
      </c>
      <c r="F66" s="1">
        <v>45048</v>
      </c>
      <c r="G66" s="1">
        <v>45055</v>
      </c>
      <c r="H66">
        <v>0</v>
      </c>
      <c r="I66">
        <v>0</v>
      </c>
      <c r="J66">
        <v>13489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f t="shared" ref="AK66:AK129" si="1">SUM(H66:AJ66)</f>
        <v>13489</v>
      </c>
    </row>
    <row r="67" spans="1:37" x14ac:dyDescent="0.3">
      <c r="A67">
        <v>184</v>
      </c>
      <c r="B67" t="s">
        <v>73</v>
      </c>
      <c r="C67" t="s">
        <v>74</v>
      </c>
      <c r="D67" t="s">
        <v>76</v>
      </c>
      <c r="E67">
        <v>2302610</v>
      </c>
      <c r="F67" s="1">
        <v>45048</v>
      </c>
      <c r="G67" s="1">
        <v>45055</v>
      </c>
      <c r="H67">
        <v>104</v>
      </c>
      <c r="I67">
        <v>0</v>
      </c>
      <c r="J67">
        <v>927</v>
      </c>
      <c r="K67">
        <v>40</v>
      </c>
      <c r="L67">
        <v>423</v>
      </c>
      <c r="M67">
        <v>148</v>
      </c>
      <c r="N67">
        <v>0</v>
      </c>
      <c r="O67">
        <v>0</v>
      </c>
      <c r="P67">
        <v>0</v>
      </c>
      <c r="Q67">
        <v>0</v>
      </c>
      <c r="R67">
        <v>2024</v>
      </c>
      <c r="S67">
        <v>0</v>
      </c>
      <c r="T67">
        <v>0</v>
      </c>
      <c r="U67">
        <v>0</v>
      </c>
      <c r="V67">
        <v>715</v>
      </c>
      <c r="W67">
        <v>208</v>
      </c>
      <c r="X67">
        <v>1619</v>
      </c>
      <c r="Y67">
        <v>0</v>
      </c>
      <c r="Z67">
        <v>2.59</v>
      </c>
      <c r="AA67">
        <v>0</v>
      </c>
      <c r="AB67">
        <f>9*2.59</f>
        <v>23.31</v>
      </c>
      <c r="AC67">
        <v>0</v>
      </c>
      <c r="AD67">
        <v>1818</v>
      </c>
      <c r="AE67">
        <v>0</v>
      </c>
      <c r="AF67">
        <v>185</v>
      </c>
      <c r="AG67">
        <v>0</v>
      </c>
      <c r="AH67">
        <v>198</v>
      </c>
      <c r="AI67">
        <v>3</v>
      </c>
      <c r="AJ67">
        <v>0</v>
      </c>
      <c r="AK67">
        <f t="shared" si="1"/>
        <v>8437.9000000000015</v>
      </c>
    </row>
    <row r="68" spans="1:37" x14ac:dyDescent="0.3">
      <c r="A68">
        <v>187</v>
      </c>
      <c r="B68" t="s">
        <v>73</v>
      </c>
      <c r="C68" t="s">
        <v>74</v>
      </c>
      <c r="D68" t="s">
        <v>38</v>
      </c>
      <c r="E68">
        <v>2302472</v>
      </c>
      <c r="F68" s="1">
        <v>45055</v>
      </c>
      <c r="G68" s="1">
        <v>45061</v>
      </c>
      <c r="H68">
        <v>145</v>
      </c>
      <c r="I68">
        <v>50</v>
      </c>
      <c r="J68">
        <v>6001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108</v>
      </c>
      <c r="S68">
        <v>0</v>
      </c>
      <c r="T68">
        <v>0</v>
      </c>
      <c r="U68">
        <v>0</v>
      </c>
      <c r="V68">
        <v>116</v>
      </c>
      <c r="W68">
        <v>61</v>
      </c>
      <c r="X68">
        <v>16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286</v>
      </c>
      <c r="AE68">
        <v>0</v>
      </c>
      <c r="AF68">
        <v>6</v>
      </c>
      <c r="AG68">
        <v>0</v>
      </c>
      <c r="AH68">
        <v>294</v>
      </c>
      <c r="AI68">
        <v>2</v>
      </c>
      <c r="AJ68">
        <v>0</v>
      </c>
      <c r="AK68">
        <f t="shared" si="1"/>
        <v>7089</v>
      </c>
    </row>
    <row r="69" spans="1:37" x14ac:dyDescent="0.3">
      <c r="A69">
        <v>190</v>
      </c>
      <c r="B69" t="s">
        <v>73</v>
      </c>
      <c r="C69" t="s">
        <v>74</v>
      </c>
      <c r="D69" t="s">
        <v>38</v>
      </c>
      <c r="E69">
        <v>2302472</v>
      </c>
      <c r="F69" s="1">
        <v>45061</v>
      </c>
      <c r="G69" s="1">
        <v>45068</v>
      </c>
      <c r="H69">
        <v>3</v>
      </c>
      <c r="I69">
        <v>130</v>
      </c>
      <c r="J69">
        <v>13247</v>
      </c>
      <c r="K69">
        <v>35</v>
      </c>
      <c r="L69">
        <v>11</v>
      </c>
      <c r="M69">
        <v>0</v>
      </c>
      <c r="N69">
        <v>0</v>
      </c>
      <c r="O69">
        <v>0</v>
      </c>
      <c r="P69">
        <v>0</v>
      </c>
      <c r="Q69">
        <v>0</v>
      </c>
      <c r="R69">
        <v>528</v>
      </c>
      <c r="S69">
        <v>0</v>
      </c>
      <c r="T69">
        <v>0</v>
      </c>
      <c r="U69">
        <v>0</v>
      </c>
      <c r="V69">
        <v>209</v>
      </c>
      <c r="W69">
        <v>132</v>
      </c>
      <c r="X69">
        <v>899</v>
      </c>
      <c r="Y69">
        <v>0</v>
      </c>
      <c r="Z69">
        <v>2.59</v>
      </c>
      <c r="AA69">
        <v>0</v>
      </c>
      <c r="AB69">
        <f>21*2.59</f>
        <v>54.39</v>
      </c>
      <c r="AC69">
        <v>0</v>
      </c>
      <c r="AD69">
        <v>382</v>
      </c>
      <c r="AE69">
        <v>0</v>
      </c>
      <c r="AF69">
        <v>619</v>
      </c>
      <c r="AG69">
        <v>0</v>
      </c>
      <c r="AH69">
        <v>663</v>
      </c>
      <c r="AI69">
        <v>6</v>
      </c>
      <c r="AJ69">
        <v>0</v>
      </c>
      <c r="AK69">
        <f t="shared" si="1"/>
        <v>16920.98</v>
      </c>
    </row>
    <row r="70" spans="1:37" x14ac:dyDescent="0.3">
      <c r="A70">
        <v>193</v>
      </c>
      <c r="B70" t="s">
        <v>73</v>
      </c>
      <c r="C70" t="s">
        <v>74</v>
      </c>
      <c r="D70" t="s">
        <v>38</v>
      </c>
      <c r="E70">
        <v>2302472</v>
      </c>
      <c r="F70" s="1">
        <v>45068</v>
      </c>
      <c r="G70" s="1">
        <v>45075</v>
      </c>
      <c r="H70">
        <v>298</v>
      </c>
      <c r="I70">
        <v>36</v>
      </c>
      <c r="J70">
        <v>9162</v>
      </c>
      <c r="K70">
        <v>17</v>
      </c>
      <c r="L70">
        <v>210</v>
      </c>
      <c r="M70">
        <v>798</v>
      </c>
      <c r="N70">
        <v>31</v>
      </c>
      <c r="O70">
        <v>75</v>
      </c>
      <c r="P70">
        <v>0</v>
      </c>
      <c r="Q70">
        <v>0</v>
      </c>
      <c r="R70">
        <v>1700</v>
      </c>
      <c r="S70">
        <v>0</v>
      </c>
      <c r="T70">
        <v>0</v>
      </c>
      <c r="U70">
        <v>0</v>
      </c>
      <c r="V70">
        <v>1070</v>
      </c>
      <c r="W70">
        <v>44</v>
      </c>
      <c r="X70">
        <v>2048</v>
      </c>
      <c r="Y70">
        <v>0</v>
      </c>
      <c r="Z70">
        <f>2*2.59</f>
        <v>5.18</v>
      </c>
      <c r="AA70">
        <v>0</v>
      </c>
      <c r="AB70">
        <f>39*2.59</f>
        <v>101.00999999999999</v>
      </c>
      <c r="AC70">
        <v>0</v>
      </c>
      <c r="AD70">
        <v>602</v>
      </c>
      <c r="AE70">
        <v>0</v>
      </c>
      <c r="AF70">
        <v>75</v>
      </c>
      <c r="AG70">
        <v>0</v>
      </c>
      <c r="AH70">
        <v>261</v>
      </c>
      <c r="AI70">
        <v>2</v>
      </c>
      <c r="AJ70">
        <v>0</v>
      </c>
      <c r="AK70">
        <f t="shared" si="1"/>
        <v>16535.190000000002</v>
      </c>
    </row>
    <row r="71" spans="1:37" x14ac:dyDescent="0.3">
      <c r="A71">
        <v>196</v>
      </c>
      <c r="B71" t="s">
        <v>77</v>
      </c>
      <c r="C71" t="s">
        <v>78</v>
      </c>
      <c r="D71" t="s">
        <v>7</v>
      </c>
      <c r="E71">
        <v>220201</v>
      </c>
      <c r="F71" s="1">
        <v>45288</v>
      </c>
      <c r="G71" s="1">
        <v>44929</v>
      </c>
      <c r="H71">
        <v>0</v>
      </c>
      <c r="I71">
        <v>224</v>
      </c>
      <c r="J71">
        <v>91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264</v>
      </c>
      <c r="S71">
        <v>0</v>
      </c>
      <c r="T71">
        <v>0</v>
      </c>
      <c r="U71">
        <v>0</v>
      </c>
      <c r="V71">
        <v>83</v>
      </c>
      <c r="W71">
        <v>23</v>
      </c>
      <c r="X71">
        <v>0</v>
      </c>
      <c r="Y71">
        <v>0</v>
      </c>
      <c r="Z71">
        <v>0</v>
      </c>
      <c r="AA71">
        <v>0</v>
      </c>
      <c r="AB71">
        <f>9*2.59</f>
        <v>23.31</v>
      </c>
      <c r="AC71">
        <v>0</v>
      </c>
      <c r="AD71">
        <v>1858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f t="shared" si="1"/>
        <v>2568.31</v>
      </c>
    </row>
    <row r="72" spans="1:37" x14ac:dyDescent="0.3">
      <c r="A72">
        <v>199</v>
      </c>
      <c r="B72" t="s">
        <v>77</v>
      </c>
      <c r="C72" t="s">
        <v>78</v>
      </c>
      <c r="D72" t="s">
        <v>7</v>
      </c>
      <c r="E72">
        <v>2300463</v>
      </c>
      <c r="F72" s="1">
        <v>44932</v>
      </c>
      <c r="G72" s="1">
        <v>44939</v>
      </c>
      <c r="H72">
        <v>18</v>
      </c>
      <c r="I72">
        <v>286</v>
      </c>
      <c r="J72">
        <v>1207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3165</v>
      </c>
      <c r="W72">
        <v>319</v>
      </c>
      <c r="X72">
        <v>345</v>
      </c>
      <c r="Y72">
        <v>0</v>
      </c>
      <c r="Z72">
        <f>2*2.59</f>
        <v>5.18</v>
      </c>
      <c r="AA72">
        <v>0</v>
      </c>
      <c r="AB72">
        <f>41*2.59</f>
        <v>106.19</v>
      </c>
      <c r="AC72">
        <v>0</v>
      </c>
      <c r="AD72">
        <v>3866</v>
      </c>
      <c r="AE72">
        <v>2</v>
      </c>
      <c r="AF72">
        <v>63</v>
      </c>
      <c r="AG72">
        <v>0</v>
      </c>
      <c r="AH72">
        <v>388</v>
      </c>
      <c r="AI72">
        <v>14</v>
      </c>
      <c r="AJ72">
        <v>0</v>
      </c>
      <c r="AK72">
        <f t="shared" si="1"/>
        <v>9786.369999999999</v>
      </c>
    </row>
    <row r="73" spans="1:37" x14ac:dyDescent="0.3">
      <c r="A73">
        <v>202</v>
      </c>
      <c r="B73" t="s">
        <v>77</v>
      </c>
      <c r="C73" t="s">
        <v>78</v>
      </c>
      <c r="D73" t="s">
        <v>7</v>
      </c>
      <c r="E73">
        <v>2300463</v>
      </c>
      <c r="F73" s="1">
        <v>44940</v>
      </c>
      <c r="G73" s="1">
        <v>44947</v>
      </c>
      <c r="H73">
        <v>82</v>
      </c>
      <c r="I73">
        <v>244</v>
      </c>
      <c r="J73">
        <v>2199</v>
      </c>
      <c r="K73">
        <v>11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380</v>
      </c>
      <c r="S73">
        <v>0</v>
      </c>
      <c r="T73">
        <v>0</v>
      </c>
      <c r="U73">
        <v>5</v>
      </c>
      <c r="V73">
        <v>2751</v>
      </c>
      <c r="W73">
        <v>98</v>
      </c>
      <c r="X73">
        <v>742</v>
      </c>
      <c r="Y73">
        <v>0</v>
      </c>
      <c r="Z73">
        <f>2*2.59</f>
        <v>5.18</v>
      </c>
      <c r="AA73">
        <v>0</v>
      </c>
      <c r="AB73">
        <f>32*2.59</f>
        <v>82.88</v>
      </c>
      <c r="AC73">
        <v>0</v>
      </c>
      <c r="AD73">
        <v>854</v>
      </c>
      <c r="AE73">
        <v>0</v>
      </c>
      <c r="AF73">
        <v>48</v>
      </c>
      <c r="AG73">
        <v>0</v>
      </c>
      <c r="AH73">
        <v>323</v>
      </c>
      <c r="AI73">
        <v>2</v>
      </c>
      <c r="AJ73">
        <v>0</v>
      </c>
      <c r="AK73">
        <f t="shared" si="1"/>
        <v>7830.06</v>
      </c>
    </row>
    <row r="74" spans="1:37" x14ac:dyDescent="0.3">
      <c r="A74">
        <v>205</v>
      </c>
      <c r="B74" t="s">
        <v>77</v>
      </c>
      <c r="C74" t="s">
        <v>78</v>
      </c>
      <c r="D74" t="s">
        <v>7</v>
      </c>
      <c r="E74">
        <v>2300463</v>
      </c>
      <c r="F74" s="1">
        <v>44947</v>
      </c>
      <c r="G74" s="1">
        <v>44953</v>
      </c>
      <c r="H74">
        <v>56</v>
      </c>
      <c r="I74">
        <v>202</v>
      </c>
      <c r="J74">
        <v>1927</v>
      </c>
      <c r="K74">
        <v>6</v>
      </c>
      <c r="L74">
        <v>4</v>
      </c>
      <c r="M74">
        <v>10</v>
      </c>
      <c r="N74">
        <v>14</v>
      </c>
      <c r="O74">
        <v>0</v>
      </c>
      <c r="P74">
        <v>0</v>
      </c>
      <c r="Q74">
        <v>0</v>
      </c>
      <c r="R74">
        <v>240</v>
      </c>
      <c r="S74">
        <v>0</v>
      </c>
      <c r="T74">
        <v>0</v>
      </c>
      <c r="U74">
        <v>0</v>
      </c>
      <c r="V74">
        <v>1708</v>
      </c>
      <c r="W74">
        <v>98</v>
      </c>
      <c r="X74">
        <v>262</v>
      </c>
      <c r="Y74">
        <v>0</v>
      </c>
      <c r="Z74">
        <f>2*2.59</f>
        <v>5.18</v>
      </c>
      <c r="AA74">
        <v>0</v>
      </c>
      <c r="AB74">
        <f>37*2.59</f>
        <v>95.83</v>
      </c>
      <c r="AC74">
        <v>0</v>
      </c>
      <c r="AD74">
        <v>864</v>
      </c>
      <c r="AE74">
        <v>0</v>
      </c>
      <c r="AF74">
        <v>12</v>
      </c>
      <c r="AG74">
        <v>0</v>
      </c>
      <c r="AH74">
        <v>370</v>
      </c>
      <c r="AI74">
        <v>3</v>
      </c>
      <c r="AJ74">
        <v>0</v>
      </c>
      <c r="AK74">
        <f t="shared" si="1"/>
        <v>5877.01</v>
      </c>
    </row>
    <row r="75" spans="1:37" x14ac:dyDescent="0.3">
      <c r="A75">
        <v>208</v>
      </c>
      <c r="B75" t="s">
        <v>77</v>
      </c>
      <c r="C75" t="s">
        <v>78</v>
      </c>
      <c r="D75" t="s">
        <v>7</v>
      </c>
      <c r="E75">
        <v>2300463</v>
      </c>
      <c r="F75" s="1">
        <v>44958</v>
      </c>
      <c r="G75" s="1">
        <v>44965</v>
      </c>
      <c r="H75">
        <v>52</v>
      </c>
      <c r="I75">
        <v>768</v>
      </c>
      <c r="J75">
        <v>1470</v>
      </c>
      <c r="K75">
        <v>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264</v>
      </c>
      <c r="S75">
        <v>0</v>
      </c>
      <c r="T75">
        <v>0</v>
      </c>
      <c r="U75">
        <v>0</v>
      </c>
      <c r="V75">
        <v>1264</v>
      </c>
      <c r="W75">
        <v>170</v>
      </c>
      <c r="X75">
        <v>240</v>
      </c>
      <c r="Y75">
        <v>0</v>
      </c>
      <c r="Z75">
        <f>4*2.59</f>
        <v>10.36</v>
      </c>
      <c r="AA75">
        <v>0</v>
      </c>
      <c r="AB75">
        <f>72*2.59</f>
        <v>186.48</v>
      </c>
      <c r="AC75">
        <v>0</v>
      </c>
      <c r="AD75">
        <v>3684</v>
      </c>
      <c r="AE75">
        <v>0</v>
      </c>
      <c r="AF75">
        <v>59</v>
      </c>
      <c r="AG75">
        <v>0</v>
      </c>
      <c r="AH75">
        <v>908</v>
      </c>
      <c r="AI75">
        <v>13</v>
      </c>
      <c r="AJ75">
        <v>0</v>
      </c>
      <c r="AK75">
        <f t="shared" si="1"/>
        <v>9097.84</v>
      </c>
    </row>
    <row r="76" spans="1:37" x14ac:dyDescent="0.3">
      <c r="A76">
        <v>211</v>
      </c>
      <c r="B76" t="s">
        <v>77</v>
      </c>
      <c r="C76" t="s">
        <v>78</v>
      </c>
      <c r="D76" t="s">
        <v>7</v>
      </c>
      <c r="E76">
        <v>2300463</v>
      </c>
      <c r="F76" s="1">
        <v>44968</v>
      </c>
      <c r="G76" s="1">
        <v>44974</v>
      </c>
      <c r="H76">
        <v>181</v>
      </c>
      <c r="I76">
        <v>429</v>
      </c>
      <c r="J76">
        <v>2373</v>
      </c>
      <c r="K76">
        <v>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176</v>
      </c>
      <c r="S76">
        <v>0</v>
      </c>
      <c r="T76">
        <v>0</v>
      </c>
      <c r="U76">
        <v>0</v>
      </c>
      <c r="V76">
        <v>1494</v>
      </c>
      <c r="W76">
        <v>35</v>
      </c>
      <c r="X76">
        <v>212</v>
      </c>
      <c r="Y76">
        <v>0</v>
      </c>
      <c r="Z76">
        <f>2*2.59</f>
        <v>5.18</v>
      </c>
      <c r="AA76">
        <v>0</v>
      </c>
      <c r="AB76">
        <f>40*2.59</f>
        <v>103.6</v>
      </c>
      <c r="AC76">
        <v>0</v>
      </c>
      <c r="AD76">
        <v>798</v>
      </c>
      <c r="AE76">
        <v>0</v>
      </c>
      <c r="AF76">
        <v>10</v>
      </c>
      <c r="AG76">
        <v>0</v>
      </c>
      <c r="AH76">
        <v>295</v>
      </c>
      <c r="AI76">
        <v>5</v>
      </c>
      <c r="AJ76">
        <v>0</v>
      </c>
      <c r="AK76">
        <f t="shared" si="1"/>
        <v>6119.7800000000007</v>
      </c>
    </row>
    <row r="77" spans="1:37" x14ac:dyDescent="0.3">
      <c r="A77">
        <v>214</v>
      </c>
      <c r="B77" t="s">
        <v>77</v>
      </c>
      <c r="C77" t="s">
        <v>78</v>
      </c>
      <c r="D77" t="s">
        <v>7</v>
      </c>
      <c r="E77">
        <v>2300463</v>
      </c>
      <c r="F77" s="1">
        <v>44975</v>
      </c>
      <c r="G77" s="1">
        <v>44984</v>
      </c>
      <c r="H77">
        <v>41</v>
      </c>
      <c r="I77">
        <v>1120</v>
      </c>
      <c r="J77">
        <v>3708</v>
      </c>
      <c r="K77">
        <v>11</v>
      </c>
      <c r="L77">
        <v>9</v>
      </c>
      <c r="M77">
        <v>0</v>
      </c>
      <c r="N77">
        <v>0</v>
      </c>
      <c r="O77">
        <v>0</v>
      </c>
      <c r="P77">
        <v>0</v>
      </c>
      <c r="Q77">
        <v>0</v>
      </c>
      <c r="R77">
        <v>320</v>
      </c>
      <c r="S77">
        <v>0</v>
      </c>
      <c r="T77">
        <v>0</v>
      </c>
      <c r="U77">
        <v>0</v>
      </c>
      <c r="V77">
        <v>2582</v>
      </c>
      <c r="W77">
        <v>101</v>
      </c>
      <c r="X77">
        <v>300</v>
      </c>
      <c r="Y77">
        <v>0</v>
      </c>
      <c r="Z77">
        <f>3*2.59</f>
        <v>7.77</v>
      </c>
      <c r="AA77">
        <v>0</v>
      </c>
      <c r="AB77">
        <f>61*2.59</f>
        <v>157.98999999999998</v>
      </c>
      <c r="AC77">
        <v>0</v>
      </c>
      <c r="AD77">
        <v>1984</v>
      </c>
      <c r="AE77">
        <v>0</v>
      </c>
      <c r="AF77">
        <v>26</v>
      </c>
      <c r="AG77">
        <v>0</v>
      </c>
      <c r="AH77">
        <v>383</v>
      </c>
      <c r="AI77">
        <v>22</v>
      </c>
      <c r="AJ77">
        <v>0</v>
      </c>
      <c r="AK77">
        <f t="shared" si="1"/>
        <v>10772.76</v>
      </c>
    </row>
    <row r="78" spans="1:37" x14ac:dyDescent="0.3">
      <c r="A78">
        <v>217</v>
      </c>
      <c r="B78" t="s">
        <v>77</v>
      </c>
      <c r="C78" t="s">
        <v>78</v>
      </c>
      <c r="D78" t="s">
        <v>7</v>
      </c>
      <c r="E78">
        <v>2300463</v>
      </c>
      <c r="F78" s="1">
        <v>44984</v>
      </c>
      <c r="G78" s="1">
        <v>44991</v>
      </c>
      <c r="H78">
        <v>45</v>
      </c>
      <c r="I78">
        <v>1213</v>
      </c>
      <c r="J78">
        <v>6301</v>
      </c>
      <c r="K78">
        <v>15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388</v>
      </c>
      <c r="S78">
        <v>0</v>
      </c>
      <c r="T78">
        <v>0</v>
      </c>
      <c r="U78">
        <v>0</v>
      </c>
      <c r="V78">
        <v>827</v>
      </c>
      <c r="W78">
        <v>7</v>
      </c>
      <c r="X78">
        <v>317</v>
      </c>
      <c r="Y78">
        <v>0</v>
      </c>
      <c r="Z78">
        <v>2.59</v>
      </c>
      <c r="AA78">
        <v>0</v>
      </c>
      <c r="AB78">
        <f>9*2.59</f>
        <v>23.31</v>
      </c>
      <c r="AC78">
        <v>0</v>
      </c>
      <c r="AD78">
        <v>1896</v>
      </c>
      <c r="AE78">
        <v>0</v>
      </c>
      <c r="AF78">
        <v>63</v>
      </c>
      <c r="AG78">
        <v>0</v>
      </c>
      <c r="AH78">
        <v>141</v>
      </c>
      <c r="AI78">
        <v>68</v>
      </c>
      <c r="AJ78">
        <v>0</v>
      </c>
      <c r="AK78">
        <f t="shared" si="1"/>
        <v>11307.9</v>
      </c>
    </row>
    <row r="79" spans="1:37" x14ac:dyDescent="0.3">
      <c r="A79">
        <v>220</v>
      </c>
      <c r="B79" t="s">
        <v>77</v>
      </c>
      <c r="C79" t="s">
        <v>78</v>
      </c>
      <c r="D79" t="s">
        <v>7</v>
      </c>
      <c r="E79">
        <v>2300463</v>
      </c>
      <c r="F79" s="1">
        <v>44994</v>
      </c>
      <c r="G79" s="1">
        <v>44999</v>
      </c>
      <c r="H79">
        <v>275</v>
      </c>
      <c r="I79">
        <v>891</v>
      </c>
      <c r="J79">
        <v>6790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392</v>
      </c>
      <c r="S79">
        <v>0</v>
      </c>
      <c r="T79">
        <v>0</v>
      </c>
      <c r="U79">
        <v>0</v>
      </c>
      <c r="V79">
        <v>710</v>
      </c>
      <c r="W79">
        <v>16</v>
      </c>
      <c r="X79">
        <v>18</v>
      </c>
      <c r="Y79">
        <v>0</v>
      </c>
      <c r="Z79">
        <v>2.59</v>
      </c>
      <c r="AA79">
        <v>0</v>
      </c>
      <c r="AB79">
        <f>13*2.59</f>
        <v>33.67</v>
      </c>
      <c r="AC79">
        <v>0</v>
      </c>
      <c r="AD79">
        <v>776</v>
      </c>
      <c r="AE79">
        <v>0</v>
      </c>
      <c r="AF79">
        <v>83</v>
      </c>
      <c r="AG79">
        <v>0</v>
      </c>
      <c r="AH79">
        <v>349</v>
      </c>
      <c r="AI79">
        <v>2</v>
      </c>
      <c r="AJ79">
        <v>0</v>
      </c>
      <c r="AK79">
        <f t="shared" si="1"/>
        <v>10340.26</v>
      </c>
    </row>
    <row r="80" spans="1:37" x14ac:dyDescent="0.3">
      <c r="A80">
        <v>223</v>
      </c>
      <c r="B80" t="s">
        <v>77</v>
      </c>
      <c r="C80" t="s">
        <v>78</v>
      </c>
      <c r="D80" t="s">
        <v>7</v>
      </c>
      <c r="E80">
        <v>2300463</v>
      </c>
      <c r="F80" s="1">
        <v>45014</v>
      </c>
      <c r="G80" s="1">
        <v>45020</v>
      </c>
      <c r="H80">
        <v>15</v>
      </c>
      <c r="I80">
        <v>1907</v>
      </c>
      <c r="J80">
        <v>7179</v>
      </c>
      <c r="K80">
        <v>2</v>
      </c>
      <c r="L80">
        <v>10</v>
      </c>
      <c r="M80">
        <v>0</v>
      </c>
      <c r="N80">
        <v>0</v>
      </c>
      <c r="O80">
        <v>0</v>
      </c>
      <c r="P80">
        <v>0</v>
      </c>
      <c r="Q80">
        <v>0</v>
      </c>
      <c r="R80">
        <v>700</v>
      </c>
      <c r="S80">
        <v>0</v>
      </c>
      <c r="T80">
        <v>0</v>
      </c>
      <c r="U80">
        <v>0</v>
      </c>
      <c r="V80">
        <v>505</v>
      </c>
      <c r="W80">
        <v>17</v>
      </c>
      <c r="X80">
        <v>427</v>
      </c>
      <c r="Y80">
        <v>0</v>
      </c>
      <c r="Z80">
        <f>5*2.59</f>
        <v>12.95</v>
      </c>
      <c r="AA80">
        <v>0</v>
      </c>
      <c r="AB80">
        <f>101*2.59</f>
        <v>261.58999999999997</v>
      </c>
      <c r="AC80">
        <v>0</v>
      </c>
      <c r="AD80">
        <v>1996</v>
      </c>
      <c r="AE80">
        <v>0</v>
      </c>
      <c r="AF80">
        <v>837</v>
      </c>
      <c r="AG80">
        <v>0</v>
      </c>
      <c r="AH80">
        <v>493</v>
      </c>
      <c r="AI80">
        <v>14</v>
      </c>
      <c r="AJ80">
        <v>0</v>
      </c>
      <c r="AK80">
        <f t="shared" si="1"/>
        <v>14376.54</v>
      </c>
    </row>
    <row r="81" spans="1:37" x14ac:dyDescent="0.3">
      <c r="A81">
        <v>226</v>
      </c>
      <c r="B81" t="s">
        <v>77</v>
      </c>
      <c r="C81" t="s">
        <v>78</v>
      </c>
      <c r="D81" t="s">
        <v>7</v>
      </c>
      <c r="E81">
        <v>2300463</v>
      </c>
      <c r="F81" s="1">
        <v>45022</v>
      </c>
      <c r="G81" s="1">
        <v>45030</v>
      </c>
      <c r="H81">
        <v>14</v>
      </c>
      <c r="I81">
        <v>431</v>
      </c>
      <c r="J81">
        <v>5672</v>
      </c>
      <c r="K81">
        <v>2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508</v>
      </c>
      <c r="S81">
        <v>0</v>
      </c>
      <c r="T81">
        <v>0</v>
      </c>
      <c r="U81">
        <v>0</v>
      </c>
      <c r="V81">
        <v>860</v>
      </c>
      <c r="W81">
        <v>35</v>
      </c>
      <c r="X81">
        <v>51</v>
      </c>
      <c r="Y81">
        <v>0</v>
      </c>
      <c r="Z81">
        <v>2.59</v>
      </c>
      <c r="AA81">
        <v>0</v>
      </c>
      <c r="AB81">
        <f>13*2.59</f>
        <v>33.67</v>
      </c>
      <c r="AC81">
        <v>0</v>
      </c>
      <c r="AD81">
        <v>1704</v>
      </c>
      <c r="AE81">
        <v>0</v>
      </c>
      <c r="AF81">
        <v>0</v>
      </c>
      <c r="AG81">
        <v>0</v>
      </c>
      <c r="AH81">
        <v>328</v>
      </c>
      <c r="AI81">
        <v>11</v>
      </c>
      <c r="AJ81">
        <v>0</v>
      </c>
      <c r="AK81">
        <f t="shared" si="1"/>
        <v>9655.26</v>
      </c>
    </row>
    <row r="82" spans="1:37" x14ac:dyDescent="0.3">
      <c r="A82">
        <v>229</v>
      </c>
      <c r="B82" t="s">
        <v>77</v>
      </c>
      <c r="C82" t="s">
        <v>78</v>
      </c>
      <c r="D82" t="s">
        <v>7</v>
      </c>
      <c r="E82">
        <v>2300463</v>
      </c>
      <c r="F82" s="1">
        <v>45030</v>
      </c>
      <c r="G82" s="1">
        <v>45036</v>
      </c>
      <c r="H82">
        <v>14</v>
      </c>
      <c r="I82">
        <v>474</v>
      </c>
      <c r="J82">
        <v>4095</v>
      </c>
      <c r="K82">
        <v>5</v>
      </c>
      <c r="L82">
        <v>36</v>
      </c>
      <c r="M82">
        <v>0</v>
      </c>
      <c r="N82">
        <v>4</v>
      </c>
      <c r="O82">
        <v>0</v>
      </c>
      <c r="P82">
        <v>0</v>
      </c>
      <c r="Q82">
        <v>0</v>
      </c>
      <c r="R82">
        <v>492</v>
      </c>
      <c r="S82">
        <v>0</v>
      </c>
      <c r="T82">
        <v>0</v>
      </c>
      <c r="U82">
        <v>0</v>
      </c>
      <c r="V82">
        <v>647</v>
      </c>
      <c r="W82">
        <v>3</v>
      </c>
      <c r="X82">
        <v>748</v>
      </c>
      <c r="Y82">
        <v>0</v>
      </c>
      <c r="Z82">
        <v>0</v>
      </c>
      <c r="AA82">
        <v>0</v>
      </c>
      <c r="AB82">
        <f>2.59*4</f>
        <v>10.36</v>
      </c>
      <c r="AC82">
        <v>0</v>
      </c>
      <c r="AD82">
        <v>606</v>
      </c>
      <c r="AE82">
        <v>0</v>
      </c>
      <c r="AF82">
        <v>519</v>
      </c>
      <c r="AG82">
        <v>0</v>
      </c>
      <c r="AH82">
        <v>223</v>
      </c>
      <c r="AI82">
        <v>3</v>
      </c>
      <c r="AJ82">
        <v>0</v>
      </c>
      <c r="AK82">
        <f t="shared" si="1"/>
        <v>7879.36</v>
      </c>
    </row>
    <row r="83" spans="1:37" x14ac:dyDescent="0.3">
      <c r="A83">
        <v>232</v>
      </c>
      <c r="B83" t="s">
        <v>77</v>
      </c>
      <c r="C83" t="s">
        <v>78</v>
      </c>
      <c r="D83" t="s">
        <v>7</v>
      </c>
      <c r="E83">
        <v>2300463</v>
      </c>
      <c r="F83" s="1">
        <v>45038</v>
      </c>
      <c r="G83" s="1">
        <v>45044</v>
      </c>
      <c r="H83">
        <v>14</v>
      </c>
      <c r="I83">
        <v>1509</v>
      </c>
      <c r="J83">
        <v>2516</v>
      </c>
      <c r="K83">
        <v>21</v>
      </c>
      <c r="L83">
        <v>10</v>
      </c>
      <c r="M83">
        <v>0</v>
      </c>
      <c r="N83">
        <v>0</v>
      </c>
      <c r="O83">
        <v>0</v>
      </c>
      <c r="P83">
        <v>0</v>
      </c>
      <c r="Q83">
        <v>0</v>
      </c>
      <c r="R83">
        <v>560</v>
      </c>
      <c r="S83">
        <v>0</v>
      </c>
      <c r="T83">
        <v>0</v>
      </c>
      <c r="U83">
        <v>0</v>
      </c>
      <c r="V83">
        <v>503</v>
      </c>
      <c r="W83">
        <v>86</v>
      </c>
      <c r="X83">
        <v>552</v>
      </c>
      <c r="Y83">
        <v>0</v>
      </c>
      <c r="Z83">
        <f>2*2.59</f>
        <v>5.18</v>
      </c>
      <c r="AA83">
        <v>0</v>
      </c>
      <c r="AB83">
        <f>28*2.59</f>
        <v>72.52</v>
      </c>
      <c r="AC83">
        <v>0</v>
      </c>
      <c r="AD83">
        <v>1602</v>
      </c>
      <c r="AE83">
        <v>0</v>
      </c>
      <c r="AF83">
        <v>83</v>
      </c>
      <c r="AG83">
        <v>0</v>
      </c>
      <c r="AH83">
        <v>97</v>
      </c>
      <c r="AI83">
        <v>4</v>
      </c>
      <c r="AJ83">
        <v>0</v>
      </c>
      <c r="AK83">
        <f t="shared" si="1"/>
        <v>7634.7000000000007</v>
      </c>
    </row>
    <row r="84" spans="1:37" x14ac:dyDescent="0.3">
      <c r="A84">
        <v>235</v>
      </c>
      <c r="B84" t="s">
        <v>77</v>
      </c>
      <c r="C84" t="s">
        <v>78</v>
      </c>
      <c r="D84" t="s">
        <v>7</v>
      </c>
      <c r="E84">
        <v>2300463</v>
      </c>
      <c r="F84" s="1">
        <v>45044</v>
      </c>
      <c r="G84" s="1">
        <v>45051</v>
      </c>
      <c r="H84">
        <v>1</v>
      </c>
      <c r="I84">
        <v>1713</v>
      </c>
      <c r="J84">
        <v>2200</v>
      </c>
      <c r="K84">
        <v>6</v>
      </c>
      <c r="L84">
        <v>10</v>
      </c>
      <c r="M84">
        <v>0</v>
      </c>
      <c r="N84">
        <v>0</v>
      </c>
      <c r="O84">
        <v>0</v>
      </c>
      <c r="P84">
        <v>0</v>
      </c>
      <c r="Q84">
        <v>0</v>
      </c>
      <c r="R84">
        <v>568</v>
      </c>
      <c r="S84">
        <v>0</v>
      </c>
      <c r="T84">
        <v>0</v>
      </c>
      <c r="U84">
        <v>0</v>
      </c>
      <c r="V84">
        <v>449</v>
      </c>
      <c r="W84">
        <v>445</v>
      </c>
      <c r="X84">
        <v>1018</v>
      </c>
      <c r="Y84">
        <v>0</v>
      </c>
      <c r="Z84">
        <f>2*2.59</f>
        <v>5.18</v>
      </c>
      <c r="AA84">
        <v>0</v>
      </c>
      <c r="AB84">
        <f>33*2.59</f>
        <v>85.47</v>
      </c>
      <c r="AC84">
        <v>0</v>
      </c>
      <c r="AD84">
        <v>2758</v>
      </c>
      <c r="AE84">
        <v>0</v>
      </c>
      <c r="AF84">
        <v>121</v>
      </c>
      <c r="AG84">
        <v>0</v>
      </c>
      <c r="AH84">
        <v>272</v>
      </c>
      <c r="AI84">
        <v>14</v>
      </c>
      <c r="AJ84">
        <v>0</v>
      </c>
      <c r="AK84">
        <f t="shared" si="1"/>
        <v>9665.6500000000015</v>
      </c>
    </row>
    <row r="85" spans="1:37" x14ac:dyDescent="0.3">
      <c r="A85">
        <v>238</v>
      </c>
      <c r="B85" t="s">
        <v>77</v>
      </c>
      <c r="C85" t="s">
        <v>78</v>
      </c>
      <c r="D85" t="s">
        <v>7</v>
      </c>
      <c r="E85">
        <v>2300463</v>
      </c>
      <c r="F85" s="1">
        <v>45051</v>
      </c>
      <c r="G85" s="1">
        <v>45061</v>
      </c>
      <c r="H85" s="3">
        <v>2</v>
      </c>
      <c r="I85" s="3">
        <v>1486</v>
      </c>
      <c r="J85" s="3">
        <v>5436</v>
      </c>
      <c r="K85" s="3">
        <v>0</v>
      </c>
      <c r="L85" s="3">
        <v>9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492</v>
      </c>
      <c r="S85" s="3">
        <v>0</v>
      </c>
      <c r="T85" s="3">
        <v>0</v>
      </c>
      <c r="U85" s="3">
        <v>0</v>
      </c>
      <c r="V85" s="3">
        <v>872</v>
      </c>
      <c r="W85" s="3">
        <v>440</v>
      </c>
      <c r="X85" s="3">
        <v>196</v>
      </c>
      <c r="Y85" s="3">
        <v>0</v>
      </c>
      <c r="Z85" s="3">
        <v>2.59</v>
      </c>
      <c r="AA85" s="3">
        <v>0</v>
      </c>
      <c r="AB85" s="3">
        <f>15*2.59</f>
        <v>38.849999999999994</v>
      </c>
      <c r="AC85">
        <v>0</v>
      </c>
      <c r="AD85" s="3">
        <v>1458</v>
      </c>
      <c r="AE85" s="3">
        <v>0</v>
      </c>
      <c r="AF85" s="3">
        <v>133</v>
      </c>
      <c r="AG85" s="3">
        <v>0</v>
      </c>
      <c r="AH85" s="3">
        <v>181</v>
      </c>
      <c r="AI85" s="3">
        <v>15</v>
      </c>
      <c r="AJ85" s="3">
        <v>0</v>
      </c>
      <c r="AK85">
        <f t="shared" si="1"/>
        <v>10761.44</v>
      </c>
    </row>
    <row r="86" spans="1:37" x14ac:dyDescent="0.3">
      <c r="A86">
        <v>241</v>
      </c>
      <c r="B86" t="s">
        <v>77</v>
      </c>
      <c r="C86" t="s">
        <v>78</v>
      </c>
      <c r="D86" t="s">
        <v>7</v>
      </c>
      <c r="E86">
        <v>2300463</v>
      </c>
      <c r="F86" s="1">
        <v>45063</v>
      </c>
      <c r="G86" s="1">
        <v>45068</v>
      </c>
      <c r="H86" s="3">
        <v>2</v>
      </c>
      <c r="I86" s="3">
        <v>1486</v>
      </c>
      <c r="J86" s="3">
        <v>5436</v>
      </c>
      <c r="K86" s="3">
        <v>0</v>
      </c>
      <c r="L86" s="3">
        <v>9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492</v>
      </c>
      <c r="S86" s="3">
        <v>0</v>
      </c>
      <c r="T86" s="3">
        <v>0</v>
      </c>
      <c r="U86" s="3">
        <v>0</v>
      </c>
      <c r="V86" s="3">
        <v>872</v>
      </c>
      <c r="W86" s="3">
        <v>440</v>
      </c>
      <c r="X86" s="3">
        <v>196</v>
      </c>
      <c r="Y86" s="3">
        <v>0</v>
      </c>
      <c r="Z86" s="3">
        <v>2.59</v>
      </c>
      <c r="AA86" s="3">
        <v>0</v>
      </c>
      <c r="AB86" s="3">
        <f>15*2.59</f>
        <v>38.849999999999994</v>
      </c>
      <c r="AC86">
        <v>0</v>
      </c>
      <c r="AD86" s="3">
        <v>1458</v>
      </c>
      <c r="AE86" s="3">
        <v>0</v>
      </c>
      <c r="AF86" s="3">
        <v>133</v>
      </c>
      <c r="AG86" s="3">
        <v>0</v>
      </c>
      <c r="AH86" s="3">
        <v>181</v>
      </c>
      <c r="AI86" s="3">
        <v>15</v>
      </c>
      <c r="AJ86" s="3">
        <v>0</v>
      </c>
      <c r="AK86">
        <f t="shared" si="1"/>
        <v>10761.44</v>
      </c>
    </row>
    <row r="87" spans="1:37" x14ac:dyDescent="0.3">
      <c r="A87">
        <v>244</v>
      </c>
      <c r="B87" t="s">
        <v>77</v>
      </c>
      <c r="C87" t="s">
        <v>78</v>
      </c>
      <c r="D87" t="s">
        <v>7</v>
      </c>
      <c r="E87">
        <v>2300463</v>
      </c>
      <c r="F87" s="12">
        <v>45069</v>
      </c>
      <c r="G87" s="12">
        <v>45076</v>
      </c>
      <c r="H87">
        <v>63</v>
      </c>
      <c r="I87">
        <v>435</v>
      </c>
      <c r="J87">
        <v>4824</v>
      </c>
      <c r="K87">
        <v>3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432</v>
      </c>
      <c r="S87">
        <v>0</v>
      </c>
      <c r="T87">
        <v>0</v>
      </c>
      <c r="U87">
        <v>0</v>
      </c>
      <c r="V87">
        <v>158</v>
      </c>
      <c r="W87">
        <v>148</v>
      </c>
      <c r="X87">
        <v>78</v>
      </c>
      <c r="Y87">
        <v>0</v>
      </c>
      <c r="Z87">
        <v>2.59</v>
      </c>
      <c r="AA87">
        <v>0</v>
      </c>
      <c r="AB87">
        <f>18*2.59</f>
        <v>46.62</v>
      </c>
      <c r="AC87">
        <v>0</v>
      </c>
      <c r="AD87">
        <v>836</v>
      </c>
      <c r="AE87">
        <v>0</v>
      </c>
      <c r="AF87">
        <v>41</v>
      </c>
      <c r="AG87">
        <v>0</v>
      </c>
      <c r="AH87">
        <v>349</v>
      </c>
      <c r="AI87">
        <v>14</v>
      </c>
      <c r="AJ87">
        <v>0</v>
      </c>
      <c r="AK87">
        <f t="shared" si="1"/>
        <v>7443.21</v>
      </c>
    </row>
    <row r="88" spans="1:37" x14ac:dyDescent="0.3">
      <c r="A88">
        <v>247</v>
      </c>
      <c r="B88" t="s">
        <v>80</v>
      </c>
      <c r="C88" t="s">
        <v>79</v>
      </c>
      <c r="D88" t="s">
        <v>7</v>
      </c>
      <c r="E88">
        <v>2300598</v>
      </c>
      <c r="F88" s="1">
        <v>44960</v>
      </c>
      <c r="G88" s="1">
        <v>44965</v>
      </c>
      <c r="H88">
        <v>26</v>
      </c>
      <c r="I88">
        <v>0</v>
      </c>
      <c r="J88">
        <v>57463</v>
      </c>
      <c r="K88">
        <v>1587</v>
      </c>
      <c r="L88">
        <v>20</v>
      </c>
      <c r="M88">
        <v>241</v>
      </c>
      <c r="N88">
        <v>0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209</v>
      </c>
      <c r="W88">
        <v>18</v>
      </c>
      <c r="X88">
        <v>1718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</v>
      </c>
      <c r="AF88">
        <v>26</v>
      </c>
      <c r="AG88">
        <v>0</v>
      </c>
      <c r="AH88">
        <v>1</v>
      </c>
      <c r="AI88">
        <v>0</v>
      </c>
      <c r="AJ88">
        <v>0</v>
      </c>
      <c r="AK88">
        <f t="shared" si="1"/>
        <v>61319</v>
      </c>
    </row>
    <row r="89" spans="1:37" x14ac:dyDescent="0.3">
      <c r="A89">
        <v>250</v>
      </c>
      <c r="B89" t="s">
        <v>80</v>
      </c>
      <c r="C89" t="s">
        <v>79</v>
      </c>
      <c r="D89" t="s">
        <v>7</v>
      </c>
      <c r="E89">
        <v>2300598</v>
      </c>
      <c r="F89" s="1">
        <v>44973</v>
      </c>
      <c r="G89" s="1">
        <v>44981</v>
      </c>
      <c r="H89">
        <v>28</v>
      </c>
      <c r="I89">
        <v>0</v>
      </c>
      <c r="J89">
        <v>52916</v>
      </c>
      <c r="K89">
        <v>1287</v>
      </c>
      <c r="L89">
        <v>3043</v>
      </c>
      <c r="M89">
        <v>712</v>
      </c>
      <c r="N89">
        <v>0</v>
      </c>
      <c r="O89">
        <v>0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28</v>
      </c>
      <c r="AF89">
        <v>0</v>
      </c>
      <c r="AG89">
        <v>0</v>
      </c>
      <c r="AH89">
        <v>0</v>
      </c>
      <c r="AI89">
        <v>0</v>
      </c>
      <c r="AJ89">
        <v>0</v>
      </c>
      <c r="AK89">
        <f t="shared" si="1"/>
        <v>58021</v>
      </c>
    </row>
    <row r="90" spans="1:37" x14ac:dyDescent="0.3">
      <c r="A90">
        <v>253</v>
      </c>
      <c r="B90" t="s">
        <v>80</v>
      </c>
      <c r="C90" t="s">
        <v>79</v>
      </c>
      <c r="D90" t="s">
        <v>76</v>
      </c>
      <c r="E90">
        <v>2302611</v>
      </c>
      <c r="F90" s="1">
        <v>44982</v>
      </c>
      <c r="G90" s="1">
        <v>44988</v>
      </c>
      <c r="H90">
        <v>59</v>
      </c>
      <c r="I90">
        <v>0</v>
      </c>
      <c r="J90">
        <v>51961</v>
      </c>
      <c r="K90">
        <v>638</v>
      </c>
      <c r="L90">
        <v>1889</v>
      </c>
      <c r="M90">
        <v>709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27</v>
      </c>
      <c r="W90">
        <v>0</v>
      </c>
      <c r="X90">
        <v>56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9</v>
      </c>
      <c r="AF90">
        <v>2</v>
      </c>
      <c r="AG90">
        <v>0</v>
      </c>
      <c r="AH90">
        <v>0</v>
      </c>
      <c r="AI90">
        <v>0</v>
      </c>
      <c r="AJ90">
        <v>0</v>
      </c>
      <c r="AK90">
        <f t="shared" si="1"/>
        <v>55350</v>
      </c>
    </row>
    <row r="91" spans="1:37" x14ac:dyDescent="0.3">
      <c r="A91">
        <v>256</v>
      </c>
      <c r="B91" t="s">
        <v>80</v>
      </c>
      <c r="C91" t="s">
        <v>79</v>
      </c>
      <c r="D91" t="s">
        <v>76</v>
      </c>
      <c r="E91">
        <v>2302611</v>
      </c>
      <c r="F91" s="1">
        <v>44988</v>
      </c>
      <c r="G91" s="1">
        <v>44995</v>
      </c>
      <c r="H91">
        <v>110</v>
      </c>
      <c r="I91">
        <v>0</v>
      </c>
      <c r="J91">
        <v>66445</v>
      </c>
      <c r="K91">
        <v>351</v>
      </c>
      <c r="L91">
        <v>722</v>
      </c>
      <c r="M91">
        <v>592</v>
      </c>
      <c r="N91">
        <v>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42</v>
      </c>
      <c r="W91">
        <v>0</v>
      </c>
      <c r="X91">
        <v>1982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234</v>
      </c>
      <c r="AE91">
        <v>6</v>
      </c>
      <c r="AF91">
        <v>95</v>
      </c>
      <c r="AG91">
        <v>0</v>
      </c>
      <c r="AH91">
        <v>85</v>
      </c>
      <c r="AI91">
        <v>0</v>
      </c>
      <c r="AJ91">
        <v>0</v>
      </c>
      <c r="AK91">
        <f t="shared" si="1"/>
        <v>70669</v>
      </c>
    </row>
    <row r="92" spans="1:37" x14ac:dyDescent="0.3">
      <c r="A92">
        <v>259</v>
      </c>
      <c r="B92" t="s">
        <v>80</v>
      </c>
      <c r="C92" t="s">
        <v>79</v>
      </c>
      <c r="D92" t="s">
        <v>76</v>
      </c>
      <c r="E92">
        <v>2302611</v>
      </c>
      <c r="F92" s="1">
        <v>44996</v>
      </c>
      <c r="G92" s="1">
        <v>45002</v>
      </c>
      <c r="H92">
        <v>89</v>
      </c>
      <c r="I92">
        <v>0</v>
      </c>
      <c r="J92">
        <v>66434</v>
      </c>
      <c r="K92">
        <v>5</v>
      </c>
      <c r="L92">
        <v>684</v>
      </c>
      <c r="M92">
        <v>843</v>
      </c>
      <c r="N92">
        <v>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f t="shared" si="1"/>
        <v>68067</v>
      </c>
    </row>
    <row r="93" spans="1:37" x14ac:dyDescent="0.3">
      <c r="A93">
        <v>262</v>
      </c>
      <c r="B93" t="s">
        <v>80</v>
      </c>
      <c r="C93" t="s">
        <v>79</v>
      </c>
      <c r="D93" t="s">
        <v>76</v>
      </c>
      <c r="E93">
        <v>2302611</v>
      </c>
      <c r="F93" s="1">
        <v>45004</v>
      </c>
      <c r="G93" s="10">
        <v>45013</v>
      </c>
      <c r="H93">
        <v>770</v>
      </c>
      <c r="I93">
        <v>0</v>
      </c>
      <c r="J93">
        <v>16803</v>
      </c>
      <c r="K93">
        <v>47</v>
      </c>
      <c r="L93">
        <v>5998</v>
      </c>
      <c r="M93">
        <v>640</v>
      </c>
      <c r="N93">
        <v>16</v>
      </c>
      <c r="O93">
        <v>0</v>
      </c>
      <c r="P93">
        <v>0</v>
      </c>
      <c r="Q93">
        <v>0</v>
      </c>
      <c r="R93">
        <v>0</v>
      </c>
      <c r="S93">
        <v>118</v>
      </c>
      <c r="T93">
        <v>0</v>
      </c>
      <c r="U93">
        <v>0</v>
      </c>
      <c r="V93">
        <v>196</v>
      </c>
      <c r="W93">
        <v>23</v>
      </c>
      <c r="X93">
        <v>2709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154</v>
      </c>
      <c r="AE93">
        <v>11</v>
      </c>
      <c r="AF93">
        <v>20</v>
      </c>
      <c r="AG93">
        <v>0</v>
      </c>
      <c r="AH93">
        <v>2</v>
      </c>
      <c r="AI93">
        <v>3</v>
      </c>
      <c r="AJ93">
        <v>0</v>
      </c>
      <c r="AK93">
        <f t="shared" si="1"/>
        <v>27510</v>
      </c>
    </row>
    <row r="94" spans="1:37" x14ac:dyDescent="0.3">
      <c r="A94">
        <v>265</v>
      </c>
      <c r="B94" t="s">
        <v>80</v>
      </c>
      <c r="C94" t="s">
        <v>79</v>
      </c>
      <c r="D94" t="s">
        <v>45</v>
      </c>
      <c r="E94">
        <v>2303512</v>
      </c>
      <c r="F94" s="10">
        <v>45012</v>
      </c>
      <c r="G94" s="1">
        <v>45020</v>
      </c>
      <c r="H94">
        <v>215</v>
      </c>
      <c r="I94">
        <v>11</v>
      </c>
      <c r="J94">
        <v>12473</v>
      </c>
      <c r="K94">
        <v>1062</v>
      </c>
      <c r="L94">
        <v>637</v>
      </c>
      <c r="M94">
        <v>1035</v>
      </c>
      <c r="N94">
        <v>5</v>
      </c>
      <c r="O94">
        <v>0</v>
      </c>
      <c r="P94">
        <v>0</v>
      </c>
      <c r="Q94">
        <v>0</v>
      </c>
      <c r="R94">
        <v>124</v>
      </c>
      <c r="S94">
        <v>0</v>
      </c>
      <c r="T94">
        <v>0</v>
      </c>
      <c r="U94">
        <v>0</v>
      </c>
      <c r="V94">
        <v>543</v>
      </c>
      <c r="W94">
        <v>0</v>
      </c>
      <c r="X94">
        <v>751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402</v>
      </c>
      <c r="AE94">
        <v>5</v>
      </c>
      <c r="AF94">
        <v>0</v>
      </c>
      <c r="AG94">
        <v>0</v>
      </c>
      <c r="AH94">
        <v>75</v>
      </c>
      <c r="AI94">
        <v>0</v>
      </c>
      <c r="AJ94">
        <v>0</v>
      </c>
      <c r="AK94">
        <f t="shared" si="1"/>
        <v>17338</v>
      </c>
    </row>
    <row r="95" spans="1:37" x14ac:dyDescent="0.3">
      <c r="A95">
        <v>268</v>
      </c>
      <c r="B95" t="s">
        <v>80</v>
      </c>
      <c r="C95" t="s">
        <v>79</v>
      </c>
      <c r="D95" t="s">
        <v>81</v>
      </c>
      <c r="E95">
        <v>2303704</v>
      </c>
      <c r="F95" s="1">
        <v>45020</v>
      </c>
      <c r="G95" s="1">
        <v>45028</v>
      </c>
      <c r="H95">
        <v>441</v>
      </c>
      <c r="I95">
        <v>1</v>
      </c>
      <c r="J95">
        <v>23870</v>
      </c>
      <c r="K95">
        <v>860</v>
      </c>
      <c r="L95">
        <v>969</v>
      </c>
      <c r="M95">
        <v>691</v>
      </c>
      <c r="N95">
        <v>0</v>
      </c>
      <c r="O95">
        <v>0</v>
      </c>
      <c r="P95">
        <v>0</v>
      </c>
      <c r="Q95">
        <v>0</v>
      </c>
      <c r="R95">
        <v>4</v>
      </c>
      <c r="S95">
        <v>27</v>
      </c>
      <c r="T95">
        <v>10</v>
      </c>
      <c r="U95">
        <v>0</v>
      </c>
      <c r="V95">
        <v>211</v>
      </c>
      <c r="W95">
        <v>0</v>
      </c>
      <c r="X95">
        <v>1200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420</v>
      </c>
      <c r="AE95">
        <v>9</v>
      </c>
      <c r="AF95">
        <v>3</v>
      </c>
      <c r="AG95">
        <v>0</v>
      </c>
      <c r="AH95">
        <v>0</v>
      </c>
      <c r="AI95">
        <v>0</v>
      </c>
      <c r="AJ95">
        <v>0</v>
      </c>
      <c r="AK95">
        <f t="shared" si="1"/>
        <v>28716</v>
      </c>
    </row>
    <row r="96" spans="1:37" x14ac:dyDescent="0.3">
      <c r="A96">
        <v>271</v>
      </c>
      <c r="B96" t="s">
        <v>80</v>
      </c>
      <c r="C96" t="s">
        <v>79</v>
      </c>
      <c r="D96" t="s">
        <v>81</v>
      </c>
      <c r="E96">
        <v>2303704</v>
      </c>
      <c r="F96" s="1">
        <v>45028</v>
      </c>
      <c r="G96" s="1">
        <v>45037</v>
      </c>
      <c r="H96">
        <v>211</v>
      </c>
      <c r="I96">
        <v>0</v>
      </c>
      <c r="J96">
        <v>9764</v>
      </c>
      <c r="K96">
        <v>2589</v>
      </c>
      <c r="L96">
        <v>890</v>
      </c>
      <c r="M96">
        <v>4802</v>
      </c>
      <c r="N96">
        <v>23152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203</v>
      </c>
      <c r="W96">
        <v>0</v>
      </c>
      <c r="X96">
        <v>2088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144</v>
      </c>
      <c r="AE96">
        <v>30</v>
      </c>
      <c r="AF96">
        <v>98</v>
      </c>
      <c r="AG96">
        <v>0</v>
      </c>
      <c r="AH96">
        <v>15</v>
      </c>
      <c r="AI96">
        <v>0</v>
      </c>
      <c r="AJ96">
        <v>0</v>
      </c>
      <c r="AK96">
        <f t="shared" si="1"/>
        <v>43990</v>
      </c>
    </row>
    <row r="97" spans="1:37" x14ac:dyDescent="0.3">
      <c r="A97">
        <v>274</v>
      </c>
      <c r="B97" t="s">
        <v>82</v>
      </c>
      <c r="C97" t="s">
        <v>83</v>
      </c>
      <c r="D97" t="s">
        <v>7</v>
      </c>
      <c r="E97" s="3">
        <v>2300463</v>
      </c>
      <c r="F97" s="1">
        <v>44945</v>
      </c>
      <c r="G97" s="1">
        <v>44951</v>
      </c>
      <c r="H97">
        <v>5</v>
      </c>
      <c r="I97">
        <v>149</v>
      </c>
      <c r="J97">
        <v>1096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80</v>
      </c>
      <c r="S97">
        <v>0</v>
      </c>
      <c r="T97">
        <v>0</v>
      </c>
      <c r="U97">
        <v>8</v>
      </c>
      <c r="V97">
        <v>1392</v>
      </c>
      <c r="W97">
        <v>76</v>
      </c>
      <c r="X97">
        <v>259</v>
      </c>
      <c r="Y97">
        <v>0</v>
      </c>
      <c r="Z97">
        <v>0</v>
      </c>
      <c r="AA97">
        <v>0</v>
      </c>
      <c r="AB97">
        <f>4*2.59</f>
        <v>10.36</v>
      </c>
      <c r="AC97">
        <v>0</v>
      </c>
      <c r="AD97">
        <v>284</v>
      </c>
      <c r="AE97">
        <v>0</v>
      </c>
      <c r="AF97">
        <v>18</v>
      </c>
      <c r="AG97">
        <v>0</v>
      </c>
      <c r="AH97">
        <v>175</v>
      </c>
      <c r="AI97">
        <v>3</v>
      </c>
      <c r="AJ97">
        <v>0</v>
      </c>
      <c r="AK97">
        <f t="shared" si="1"/>
        <v>3558.36</v>
      </c>
    </row>
    <row r="98" spans="1:37" x14ac:dyDescent="0.3">
      <c r="A98">
        <v>277</v>
      </c>
      <c r="B98" t="s">
        <v>82</v>
      </c>
      <c r="C98" t="s">
        <v>83</v>
      </c>
      <c r="D98" t="s">
        <v>7</v>
      </c>
      <c r="E98">
        <v>2300462</v>
      </c>
      <c r="F98" s="1">
        <v>44951</v>
      </c>
      <c r="G98" s="1">
        <v>44958</v>
      </c>
      <c r="H98">
        <v>0</v>
      </c>
      <c r="I98">
        <v>679</v>
      </c>
      <c r="J98">
        <v>413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208</v>
      </c>
      <c r="S98">
        <v>0</v>
      </c>
      <c r="T98">
        <v>0</v>
      </c>
      <c r="U98">
        <v>8</v>
      </c>
      <c r="V98">
        <v>412</v>
      </c>
      <c r="W98">
        <v>49</v>
      </c>
      <c r="X98">
        <v>0</v>
      </c>
      <c r="Y98">
        <v>0</v>
      </c>
      <c r="Z98">
        <f>2*2.59</f>
        <v>5.18</v>
      </c>
      <c r="AA98">
        <v>0</v>
      </c>
      <c r="AB98">
        <f>30*2.59</f>
        <v>77.699999999999989</v>
      </c>
      <c r="AC98">
        <v>0</v>
      </c>
      <c r="AD98">
        <v>1312</v>
      </c>
      <c r="AE98">
        <v>0</v>
      </c>
      <c r="AF98">
        <v>1</v>
      </c>
      <c r="AG98">
        <v>0</v>
      </c>
      <c r="AH98">
        <v>48</v>
      </c>
      <c r="AI98">
        <v>1</v>
      </c>
      <c r="AJ98">
        <v>0</v>
      </c>
      <c r="AK98">
        <f t="shared" si="1"/>
        <v>3213.88</v>
      </c>
    </row>
    <row r="99" spans="1:37" x14ac:dyDescent="0.3">
      <c r="A99">
        <v>280</v>
      </c>
      <c r="B99" t="s">
        <v>82</v>
      </c>
      <c r="C99" t="s">
        <v>83</v>
      </c>
      <c r="D99" t="s">
        <v>7</v>
      </c>
      <c r="E99">
        <v>2300462</v>
      </c>
      <c r="F99" s="1">
        <v>44958</v>
      </c>
      <c r="G99" s="1">
        <v>44965</v>
      </c>
      <c r="H99">
        <v>43</v>
      </c>
      <c r="I99">
        <v>1240</v>
      </c>
      <c r="J99">
        <v>1206</v>
      </c>
      <c r="K99">
        <v>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332</v>
      </c>
      <c r="S99">
        <v>0</v>
      </c>
      <c r="T99">
        <v>0</v>
      </c>
      <c r="U99">
        <v>0</v>
      </c>
      <c r="V99">
        <v>1483</v>
      </c>
      <c r="W99">
        <v>202</v>
      </c>
      <c r="X99">
        <v>151</v>
      </c>
      <c r="Y99">
        <v>0</v>
      </c>
      <c r="Z99">
        <v>2.59</v>
      </c>
      <c r="AA99">
        <v>0</v>
      </c>
      <c r="AB99">
        <f>26*2.59</f>
        <v>67.34</v>
      </c>
      <c r="AC99">
        <v>0</v>
      </c>
      <c r="AD99">
        <v>1100</v>
      </c>
      <c r="AE99">
        <v>0</v>
      </c>
      <c r="AF99">
        <v>428</v>
      </c>
      <c r="AG99">
        <v>0</v>
      </c>
      <c r="AH99">
        <v>549</v>
      </c>
      <c r="AI99">
        <v>11</v>
      </c>
      <c r="AJ99">
        <v>0</v>
      </c>
      <c r="AK99">
        <f t="shared" si="1"/>
        <v>6820.93</v>
      </c>
    </row>
    <row r="100" spans="1:37" x14ac:dyDescent="0.3">
      <c r="A100">
        <v>283</v>
      </c>
      <c r="B100" t="s">
        <v>82</v>
      </c>
      <c r="C100" t="s">
        <v>83</v>
      </c>
      <c r="D100" t="s">
        <v>7</v>
      </c>
      <c r="E100">
        <v>2300462</v>
      </c>
      <c r="F100" s="1">
        <v>44967</v>
      </c>
      <c r="G100" s="1">
        <v>44974</v>
      </c>
      <c r="H100">
        <v>35</v>
      </c>
      <c r="I100">
        <v>727</v>
      </c>
      <c r="J100">
        <v>921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188</v>
      </c>
      <c r="S100">
        <v>0</v>
      </c>
      <c r="T100">
        <v>0</v>
      </c>
      <c r="U100">
        <v>0</v>
      </c>
      <c r="V100">
        <v>925</v>
      </c>
      <c r="W100">
        <v>146</v>
      </c>
      <c r="X100">
        <v>79</v>
      </c>
      <c r="Y100">
        <v>0</v>
      </c>
      <c r="Z100">
        <f>5*2.59</f>
        <v>12.95</v>
      </c>
      <c r="AA100">
        <v>0</v>
      </c>
      <c r="AB100">
        <f>86*2.59</f>
        <v>222.73999999999998</v>
      </c>
      <c r="AC100">
        <v>0</v>
      </c>
      <c r="AD100">
        <v>3034</v>
      </c>
      <c r="AE100">
        <v>2</v>
      </c>
      <c r="AF100">
        <v>11</v>
      </c>
      <c r="AG100">
        <v>0</v>
      </c>
      <c r="AH100">
        <v>1124</v>
      </c>
      <c r="AI100">
        <v>30</v>
      </c>
      <c r="AJ100">
        <v>0</v>
      </c>
      <c r="AK100">
        <f t="shared" si="1"/>
        <v>7457.69</v>
      </c>
    </row>
    <row r="101" spans="1:37" x14ac:dyDescent="0.3">
      <c r="A101">
        <v>286</v>
      </c>
      <c r="B101" t="s">
        <v>82</v>
      </c>
      <c r="C101" t="s">
        <v>83</v>
      </c>
      <c r="D101" t="s">
        <v>7</v>
      </c>
      <c r="E101">
        <v>2300462</v>
      </c>
      <c r="F101" s="1">
        <v>44974</v>
      </c>
      <c r="G101" s="10">
        <v>44981</v>
      </c>
      <c r="H101">
        <v>21</v>
      </c>
      <c r="I101">
        <v>250</v>
      </c>
      <c r="J101">
        <v>552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92</v>
      </c>
      <c r="S101">
        <v>1</v>
      </c>
      <c r="T101">
        <v>0</v>
      </c>
      <c r="U101">
        <v>0</v>
      </c>
      <c r="V101">
        <v>851</v>
      </c>
      <c r="W101">
        <v>10</v>
      </c>
      <c r="X101">
        <v>170</v>
      </c>
      <c r="Y101">
        <v>0</v>
      </c>
      <c r="Z101">
        <f>2.59</f>
        <v>2.59</v>
      </c>
      <c r="AA101">
        <v>0</v>
      </c>
      <c r="AB101">
        <f>14*2.59</f>
        <v>36.26</v>
      </c>
      <c r="AC101">
        <v>0</v>
      </c>
      <c r="AD101">
        <v>378</v>
      </c>
      <c r="AE101">
        <v>0</v>
      </c>
      <c r="AF101">
        <v>10</v>
      </c>
      <c r="AG101">
        <v>0</v>
      </c>
      <c r="AH101">
        <v>148</v>
      </c>
      <c r="AI101">
        <v>0</v>
      </c>
      <c r="AJ101">
        <v>0</v>
      </c>
      <c r="AK101">
        <f t="shared" si="1"/>
        <v>2524.85</v>
      </c>
    </row>
    <row r="102" spans="1:37" x14ac:dyDescent="0.3">
      <c r="A102">
        <v>289</v>
      </c>
      <c r="B102" t="s">
        <v>82</v>
      </c>
      <c r="C102" t="s">
        <v>83</v>
      </c>
      <c r="D102" t="s">
        <v>7</v>
      </c>
      <c r="E102">
        <v>2300462</v>
      </c>
      <c r="F102" s="10">
        <v>44980</v>
      </c>
      <c r="G102" s="1">
        <v>44986</v>
      </c>
      <c r="H102">
        <v>157</v>
      </c>
      <c r="I102">
        <v>868</v>
      </c>
      <c r="J102">
        <v>3450</v>
      </c>
      <c r="K102">
        <v>6</v>
      </c>
      <c r="L102">
        <v>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340</v>
      </c>
      <c r="S102">
        <v>2</v>
      </c>
      <c r="T102">
        <v>13</v>
      </c>
      <c r="U102">
        <v>0</v>
      </c>
      <c r="V102">
        <v>1211</v>
      </c>
      <c r="W102">
        <v>94</v>
      </c>
      <c r="X102">
        <v>247</v>
      </c>
      <c r="Y102">
        <v>0</v>
      </c>
      <c r="Z102">
        <v>2.59</v>
      </c>
      <c r="AA102">
        <v>0</v>
      </c>
      <c r="AB102">
        <f>24*2.59</f>
        <v>62.16</v>
      </c>
      <c r="AC102">
        <v>0</v>
      </c>
      <c r="AD102">
        <v>944</v>
      </c>
      <c r="AE102">
        <v>0</v>
      </c>
      <c r="AF102">
        <v>156</v>
      </c>
      <c r="AG102">
        <v>0</v>
      </c>
      <c r="AH102">
        <v>460</v>
      </c>
      <c r="AI102">
        <v>39</v>
      </c>
      <c r="AJ102">
        <v>0</v>
      </c>
      <c r="AK102">
        <f t="shared" si="1"/>
        <v>8062.75</v>
      </c>
    </row>
    <row r="103" spans="1:37" x14ac:dyDescent="0.3">
      <c r="A103">
        <v>292</v>
      </c>
      <c r="B103" t="s">
        <v>82</v>
      </c>
      <c r="C103" t="s">
        <v>83</v>
      </c>
      <c r="D103" t="s">
        <v>7</v>
      </c>
      <c r="E103">
        <v>2300462</v>
      </c>
      <c r="F103" s="1">
        <v>44986</v>
      </c>
      <c r="G103" s="1">
        <v>44992</v>
      </c>
      <c r="H103">
        <v>6</v>
      </c>
      <c r="I103">
        <v>783</v>
      </c>
      <c r="J103">
        <v>2234</v>
      </c>
      <c r="K103">
        <v>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108</v>
      </c>
      <c r="S103">
        <v>0</v>
      </c>
      <c r="T103">
        <v>1</v>
      </c>
      <c r="U103">
        <v>0</v>
      </c>
      <c r="V103">
        <v>564</v>
      </c>
      <c r="W103">
        <v>3</v>
      </c>
      <c r="X103">
        <v>108</v>
      </c>
      <c r="Y103">
        <v>0</v>
      </c>
      <c r="Z103">
        <v>2.59</v>
      </c>
      <c r="AA103">
        <v>0</v>
      </c>
      <c r="AB103">
        <f>25*2.59</f>
        <v>64.75</v>
      </c>
      <c r="AC103">
        <v>0</v>
      </c>
      <c r="AD103">
        <v>588</v>
      </c>
      <c r="AE103">
        <v>0</v>
      </c>
      <c r="AF103">
        <v>52</v>
      </c>
      <c r="AG103">
        <v>0</v>
      </c>
      <c r="AH103">
        <v>75</v>
      </c>
      <c r="AI103">
        <v>18</v>
      </c>
      <c r="AJ103">
        <v>0</v>
      </c>
      <c r="AK103">
        <f t="shared" si="1"/>
        <v>4615.34</v>
      </c>
    </row>
    <row r="104" spans="1:37" x14ac:dyDescent="0.3">
      <c r="A104">
        <v>295</v>
      </c>
      <c r="B104" t="s">
        <v>82</v>
      </c>
      <c r="C104" t="s">
        <v>83</v>
      </c>
      <c r="D104" t="s">
        <v>7</v>
      </c>
      <c r="E104">
        <v>2300462</v>
      </c>
      <c r="F104" s="1">
        <v>44993</v>
      </c>
      <c r="G104" s="1">
        <v>45002</v>
      </c>
      <c r="H104">
        <v>301</v>
      </c>
      <c r="I104">
        <v>1072</v>
      </c>
      <c r="J104">
        <v>4360</v>
      </c>
      <c r="K104">
        <v>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280</v>
      </c>
      <c r="S104">
        <v>0</v>
      </c>
      <c r="T104">
        <v>0</v>
      </c>
      <c r="U104">
        <v>0</v>
      </c>
      <c r="V104">
        <v>757</v>
      </c>
      <c r="W104">
        <v>10</v>
      </c>
      <c r="X104">
        <v>18</v>
      </c>
      <c r="Y104">
        <v>0</v>
      </c>
      <c r="Z104">
        <f>2*2.59</f>
        <v>5.18</v>
      </c>
      <c r="AA104">
        <v>0</v>
      </c>
      <c r="AB104">
        <f>29*2.59</f>
        <v>75.11</v>
      </c>
      <c r="AC104">
        <v>0</v>
      </c>
      <c r="AD104">
        <v>630</v>
      </c>
      <c r="AE104">
        <v>0</v>
      </c>
      <c r="AF104">
        <v>18</v>
      </c>
      <c r="AG104">
        <v>0</v>
      </c>
      <c r="AH104">
        <v>184</v>
      </c>
      <c r="AI104">
        <v>10</v>
      </c>
      <c r="AJ104">
        <v>0</v>
      </c>
      <c r="AK104">
        <f t="shared" si="1"/>
        <v>7726.29</v>
      </c>
    </row>
    <row r="105" spans="1:37" x14ac:dyDescent="0.3">
      <c r="A105">
        <v>298</v>
      </c>
      <c r="B105" t="s">
        <v>82</v>
      </c>
      <c r="C105" t="s">
        <v>83</v>
      </c>
      <c r="D105" t="s">
        <v>7</v>
      </c>
      <c r="E105">
        <v>2300462</v>
      </c>
      <c r="F105" s="1">
        <v>45014</v>
      </c>
      <c r="G105" s="1">
        <v>45020</v>
      </c>
      <c r="H105">
        <v>0</v>
      </c>
      <c r="I105">
        <v>679</v>
      </c>
      <c r="J105">
        <v>3907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308</v>
      </c>
      <c r="S105">
        <v>0</v>
      </c>
      <c r="T105">
        <v>4</v>
      </c>
      <c r="U105">
        <v>0</v>
      </c>
      <c r="V105">
        <v>396</v>
      </c>
      <c r="W105">
        <v>25</v>
      </c>
      <c r="X105">
        <v>52</v>
      </c>
      <c r="Y105">
        <v>0</v>
      </c>
      <c r="Z105">
        <f>2*2.59</f>
        <v>5.18</v>
      </c>
      <c r="AA105">
        <v>0</v>
      </c>
      <c r="AB105">
        <f>34*2.59</f>
        <v>88.06</v>
      </c>
      <c r="AC105">
        <v>0</v>
      </c>
      <c r="AD105">
        <v>1074</v>
      </c>
      <c r="AE105">
        <v>0</v>
      </c>
      <c r="AF105">
        <v>36</v>
      </c>
      <c r="AG105">
        <v>0</v>
      </c>
      <c r="AH105">
        <v>258</v>
      </c>
      <c r="AI105">
        <v>18</v>
      </c>
      <c r="AJ105">
        <v>0</v>
      </c>
      <c r="AK105">
        <f t="shared" si="1"/>
        <v>6852.2400000000007</v>
      </c>
    </row>
    <row r="106" spans="1:37" x14ac:dyDescent="0.3">
      <c r="A106">
        <v>301</v>
      </c>
      <c r="B106" t="s">
        <v>82</v>
      </c>
      <c r="C106" t="s">
        <v>83</v>
      </c>
      <c r="D106" t="s">
        <v>7</v>
      </c>
      <c r="E106">
        <v>2300462</v>
      </c>
      <c r="F106" s="1">
        <v>45020</v>
      </c>
      <c r="G106" s="1">
        <v>45028</v>
      </c>
      <c r="H106">
        <v>80</v>
      </c>
      <c r="I106">
        <v>108</v>
      </c>
      <c r="J106">
        <v>4211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260</v>
      </c>
      <c r="S106">
        <v>0</v>
      </c>
      <c r="T106">
        <v>3</v>
      </c>
      <c r="U106">
        <v>0</v>
      </c>
      <c r="V106">
        <v>490</v>
      </c>
      <c r="W106">
        <v>3</v>
      </c>
      <c r="X106">
        <v>1</v>
      </c>
      <c r="Y106">
        <v>0</v>
      </c>
      <c r="Z106">
        <f>2*2.59</f>
        <v>5.18</v>
      </c>
      <c r="AA106">
        <v>0</v>
      </c>
      <c r="AB106">
        <f>28*2.59</f>
        <v>72.52</v>
      </c>
      <c r="AC106">
        <v>0</v>
      </c>
      <c r="AD106">
        <v>1694</v>
      </c>
      <c r="AE106">
        <v>0</v>
      </c>
      <c r="AF106">
        <v>9</v>
      </c>
      <c r="AG106">
        <v>0</v>
      </c>
      <c r="AH106">
        <v>11</v>
      </c>
      <c r="AI106">
        <v>0</v>
      </c>
      <c r="AJ106">
        <v>0</v>
      </c>
      <c r="AK106">
        <f t="shared" si="1"/>
        <v>6947.7000000000007</v>
      </c>
    </row>
    <row r="107" spans="1:37" x14ac:dyDescent="0.3">
      <c r="A107">
        <v>304</v>
      </c>
      <c r="B107" t="s">
        <v>82</v>
      </c>
      <c r="C107" t="s">
        <v>83</v>
      </c>
      <c r="D107" t="s">
        <v>7</v>
      </c>
      <c r="E107">
        <v>2300462</v>
      </c>
      <c r="F107" s="1">
        <v>45028</v>
      </c>
      <c r="G107" s="1">
        <v>45034</v>
      </c>
      <c r="H107">
        <v>5</v>
      </c>
      <c r="I107">
        <v>416</v>
      </c>
      <c r="J107">
        <v>4465</v>
      </c>
      <c r="K107">
        <v>20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448</v>
      </c>
      <c r="S107">
        <v>0</v>
      </c>
      <c r="T107">
        <v>0</v>
      </c>
      <c r="U107">
        <v>0</v>
      </c>
      <c r="V107">
        <v>323</v>
      </c>
      <c r="W107">
        <v>296</v>
      </c>
      <c r="X107">
        <v>263</v>
      </c>
      <c r="Y107">
        <v>0</v>
      </c>
      <c r="Z107">
        <f>2.59</f>
        <v>2.59</v>
      </c>
      <c r="AA107">
        <v>0</v>
      </c>
      <c r="AB107">
        <f>24*2.59</f>
        <v>62.16</v>
      </c>
      <c r="AC107">
        <v>0</v>
      </c>
      <c r="AD107">
        <v>922</v>
      </c>
      <c r="AE107">
        <v>0</v>
      </c>
      <c r="AF107">
        <v>15</v>
      </c>
      <c r="AG107">
        <v>0</v>
      </c>
      <c r="AH107">
        <v>52</v>
      </c>
      <c r="AI107">
        <v>3</v>
      </c>
      <c r="AJ107">
        <v>0</v>
      </c>
      <c r="AK107">
        <f t="shared" si="1"/>
        <v>7293.75</v>
      </c>
    </row>
    <row r="108" spans="1:37" x14ac:dyDescent="0.3">
      <c r="A108">
        <v>307</v>
      </c>
      <c r="B108" t="s">
        <v>82</v>
      </c>
      <c r="C108" t="s">
        <v>83</v>
      </c>
      <c r="D108" t="s">
        <v>7</v>
      </c>
      <c r="E108">
        <v>2300462</v>
      </c>
      <c r="F108" s="1">
        <v>45034</v>
      </c>
      <c r="G108" s="1">
        <v>45041</v>
      </c>
      <c r="H108">
        <v>8</v>
      </c>
      <c r="I108">
        <v>405</v>
      </c>
      <c r="J108">
        <v>5912</v>
      </c>
      <c r="K108">
        <v>8</v>
      </c>
      <c r="L108">
        <v>18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432</v>
      </c>
      <c r="S108">
        <v>0</v>
      </c>
      <c r="T108">
        <v>0</v>
      </c>
      <c r="U108">
        <v>0</v>
      </c>
      <c r="V108">
        <v>651</v>
      </c>
      <c r="W108">
        <v>15</v>
      </c>
      <c r="X108">
        <v>400</v>
      </c>
      <c r="Y108">
        <v>0</v>
      </c>
      <c r="Z108">
        <f>2*2.59</f>
        <v>5.18</v>
      </c>
      <c r="AA108">
        <v>0</v>
      </c>
      <c r="AB108">
        <f>31*2.59</f>
        <v>80.289999999999992</v>
      </c>
      <c r="AC108">
        <v>0</v>
      </c>
      <c r="AD108">
        <v>560</v>
      </c>
      <c r="AE108">
        <v>0</v>
      </c>
      <c r="AF108">
        <v>36</v>
      </c>
      <c r="AG108">
        <v>0</v>
      </c>
      <c r="AH108">
        <v>191</v>
      </c>
      <c r="AI108">
        <v>1</v>
      </c>
      <c r="AJ108">
        <v>0</v>
      </c>
      <c r="AK108">
        <f t="shared" si="1"/>
        <v>8722.4700000000012</v>
      </c>
    </row>
    <row r="109" spans="1:37" x14ac:dyDescent="0.3">
      <c r="A109">
        <v>310</v>
      </c>
      <c r="B109" t="s">
        <v>82</v>
      </c>
      <c r="C109" t="s">
        <v>83</v>
      </c>
      <c r="D109" t="s">
        <v>7</v>
      </c>
      <c r="E109">
        <v>2300462</v>
      </c>
      <c r="F109" s="1">
        <v>45044</v>
      </c>
      <c r="G109" s="1">
        <v>45050</v>
      </c>
      <c r="H109">
        <v>0</v>
      </c>
      <c r="I109">
        <v>580</v>
      </c>
      <c r="J109">
        <v>2519</v>
      </c>
      <c r="K109">
        <v>29</v>
      </c>
      <c r="L109">
        <v>15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340</v>
      </c>
      <c r="S109">
        <v>0</v>
      </c>
      <c r="T109">
        <v>0</v>
      </c>
      <c r="U109">
        <v>0</v>
      </c>
      <c r="V109">
        <v>409</v>
      </c>
      <c r="W109">
        <v>191</v>
      </c>
      <c r="X109">
        <v>135</v>
      </c>
      <c r="Y109">
        <v>0</v>
      </c>
      <c r="Z109">
        <v>2.59</v>
      </c>
      <c r="AA109">
        <v>0</v>
      </c>
      <c r="AB109">
        <f>22*2.59</f>
        <v>56.98</v>
      </c>
      <c r="AC109">
        <v>0</v>
      </c>
      <c r="AD109">
        <v>830</v>
      </c>
      <c r="AE109">
        <v>0</v>
      </c>
      <c r="AF109">
        <v>91</v>
      </c>
      <c r="AG109">
        <v>0</v>
      </c>
      <c r="AH109">
        <v>199</v>
      </c>
      <c r="AI109">
        <v>4</v>
      </c>
      <c r="AJ109">
        <v>0</v>
      </c>
      <c r="AK109">
        <f t="shared" si="1"/>
        <v>5401.57</v>
      </c>
    </row>
    <row r="110" spans="1:37" x14ac:dyDescent="0.3">
      <c r="A110">
        <v>313</v>
      </c>
      <c r="B110" t="s">
        <v>82</v>
      </c>
      <c r="C110" t="s">
        <v>83</v>
      </c>
      <c r="D110" t="s">
        <v>7</v>
      </c>
      <c r="E110">
        <v>2300462</v>
      </c>
      <c r="F110" s="1">
        <v>45050</v>
      </c>
      <c r="G110" s="1">
        <v>45055</v>
      </c>
      <c r="H110">
        <v>3</v>
      </c>
      <c r="I110">
        <v>670</v>
      </c>
      <c r="J110">
        <v>6494</v>
      </c>
      <c r="K110">
        <v>14</v>
      </c>
      <c r="L110">
        <v>15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452</v>
      </c>
      <c r="S110">
        <v>0</v>
      </c>
      <c r="T110">
        <v>0</v>
      </c>
      <c r="U110">
        <v>0</v>
      </c>
      <c r="V110">
        <v>293</v>
      </c>
      <c r="W110">
        <v>342</v>
      </c>
      <c r="X110">
        <v>461</v>
      </c>
      <c r="Y110">
        <v>0</v>
      </c>
      <c r="Z110">
        <f>2*2.59</f>
        <v>5.18</v>
      </c>
      <c r="AA110">
        <v>0</v>
      </c>
      <c r="AB110">
        <f>37*2.59</f>
        <v>95.83</v>
      </c>
      <c r="AC110">
        <v>0</v>
      </c>
      <c r="AD110">
        <v>720</v>
      </c>
      <c r="AE110">
        <v>0</v>
      </c>
      <c r="AF110">
        <v>114</v>
      </c>
      <c r="AG110">
        <v>0</v>
      </c>
      <c r="AH110">
        <v>184</v>
      </c>
      <c r="AI110">
        <v>1</v>
      </c>
      <c r="AJ110">
        <v>0</v>
      </c>
      <c r="AK110">
        <f t="shared" si="1"/>
        <v>9864.01</v>
      </c>
    </row>
    <row r="111" spans="1:37" x14ac:dyDescent="0.3">
      <c r="A111">
        <v>316</v>
      </c>
      <c r="B111" t="s">
        <v>82</v>
      </c>
      <c r="C111" t="s">
        <v>83</v>
      </c>
      <c r="D111" t="s">
        <v>7</v>
      </c>
      <c r="E111">
        <v>2300462</v>
      </c>
      <c r="F111" s="1">
        <v>45055</v>
      </c>
      <c r="G111" s="1">
        <v>45061</v>
      </c>
      <c r="H111">
        <v>40</v>
      </c>
      <c r="I111">
        <v>32</v>
      </c>
      <c r="J111">
        <v>1494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48</v>
      </c>
      <c r="S111">
        <v>0</v>
      </c>
      <c r="T111">
        <v>0</v>
      </c>
      <c r="U111">
        <v>0</v>
      </c>
      <c r="V111">
        <v>34</v>
      </c>
      <c r="W111">
        <v>2</v>
      </c>
      <c r="X111">
        <v>1</v>
      </c>
      <c r="Y111">
        <v>0</v>
      </c>
      <c r="Z111">
        <v>0</v>
      </c>
      <c r="AA111">
        <v>0</v>
      </c>
      <c r="AB111">
        <f>8*2.59</f>
        <v>20.72</v>
      </c>
      <c r="AC111">
        <v>0</v>
      </c>
      <c r="AD111">
        <v>26</v>
      </c>
      <c r="AE111">
        <v>0</v>
      </c>
      <c r="AF111">
        <v>0</v>
      </c>
      <c r="AG111">
        <v>0</v>
      </c>
      <c r="AH111">
        <v>6</v>
      </c>
      <c r="AI111">
        <v>0</v>
      </c>
      <c r="AJ111">
        <v>0</v>
      </c>
      <c r="AK111">
        <f t="shared" si="1"/>
        <v>1703.72</v>
      </c>
    </row>
    <row r="112" spans="1:37" x14ac:dyDescent="0.3">
      <c r="A112">
        <v>319</v>
      </c>
      <c r="B112" t="s">
        <v>82</v>
      </c>
      <c r="C112" t="s">
        <v>83</v>
      </c>
      <c r="D112" t="s">
        <v>7</v>
      </c>
      <c r="E112">
        <v>2300462</v>
      </c>
      <c r="F112" s="1">
        <v>45062</v>
      </c>
      <c r="G112" s="1">
        <v>45070</v>
      </c>
      <c r="H112">
        <v>0</v>
      </c>
      <c r="I112">
        <v>0</v>
      </c>
      <c r="J112">
        <v>4968</v>
      </c>
      <c r="K112">
        <v>21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1076</v>
      </c>
      <c r="S112">
        <v>0</v>
      </c>
      <c r="T112">
        <v>0</v>
      </c>
      <c r="U112">
        <v>0</v>
      </c>
      <c r="V112">
        <v>98</v>
      </c>
      <c r="W112">
        <v>39</v>
      </c>
      <c r="X112">
        <v>112</v>
      </c>
      <c r="Y112">
        <v>0</v>
      </c>
      <c r="Z112">
        <v>0</v>
      </c>
      <c r="AA112">
        <v>0</v>
      </c>
      <c r="AB112">
        <f>6*2.59</f>
        <v>15.54</v>
      </c>
      <c r="AC112">
        <v>0</v>
      </c>
      <c r="AD112">
        <v>332</v>
      </c>
      <c r="AE112">
        <v>0</v>
      </c>
      <c r="AF112">
        <v>83</v>
      </c>
      <c r="AG112">
        <v>0</v>
      </c>
      <c r="AH112">
        <v>33</v>
      </c>
      <c r="AI112">
        <v>1</v>
      </c>
      <c r="AJ112">
        <v>0</v>
      </c>
      <c r="AK112">
        <f t="shared" si="1"/>
        <v>6778.54</v>
      </c>
    </row>
    <row r="113" spans="1:37" x14ac:dyDescent="0.3">
      <c r="A113">
        <v>322</v>
      </c>
      <c r="B113" t="s">
        <v>82</v>
      </c>
      <c r="C113" t="s">
        <v>83</v>
      </c>
      <c r="D113" t="s">
        <v>7</v>
      </c>
      <c r="E113">
        <v>2300462</v>
      </c>
      <c r="F113" s="1">
        <v>45070</v>
      </c>
      <c r="G113" s="1">
        <v>45076</v>
      </c>
      <c r="H113">
        <v>1</v>
      </c>
      <c r="I113">
        <v>119</v>
      </c>
      <c r="J113">
        <v>3390</v>
      </c>
      <c r="K113">
        <v>6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104</v>
      </c>
      <c r="S113">
        <v>0</v>
      </c>
      <c r="T113">
        <v>0</v>
      </c>
      <c r="U113">
        <v>0</v>
      </c>
      <c r="V113">
        <v>99</v>
      </c>
      <c r="W113">
        <v>17</v>
      </c>
      <c r="X113">
        <v>61</v>
      </c>
      <c r="Y113">
        <v>0</v>
      </c>
      <c r="Z113">
        <v>0</v>
      </c>
      <c r="AA113">
        <v>0</v>
      </c>
      <c r="AB113">
        <f>4*2.59</f>
        <v>10.36</v>
      </c>
      <c r="AC113">
        <v>0</v>
      </c>
      <c r="AD113">
        <v>88</v>
      </c>
      <c r="AE113">
        <v>0</v>
      </c>
      <c r="AF113">
        <v>39</v>
      </c>
      <c r="AG113">
        <v>0</v>
      </c>
      <c r="AH113">
        <v>76</v>
      </c>
      <c r="AI113">
        <v>5</v>
      </c>
      <c r="AJ113">
        <v>0</v>
      </c>
      <c r="AK113">
        <f t="shared" si="1"/>
        <v>4017.36</v>
      </c>
    </row>
    <row r="114" spans="1:37" x14ac:dyDescent="0.3">
      <c r="A114">
        <v>324</v>
      </c>
      <c r="B114" t="s">
        <v>85</v>
      </c>
      <c r="C114" t="s">
        <v>84</v>
      </c>
      <c r="D114" t="s">
        <v>7</v>
      </c>
      <c r="E114">
        <v>2300550</v>
      </c>
      <c r="F114" s="1">
        <v>45098</v>
      </c>
      <c r="G114" s="1">
        <v>45103</v>
      </c>
      <c r="H114">
        <v>342</v>
      </c>
      <c r="I114">
        <v>0</v>
      </c>
      <c r="J114">
        <v>11157</v>
      </c>
      <c r="K114">
        <v>50</v>
      </c>
      <c r="L114">
        <v>1819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1971</v>
      </c>
      <c r="W114">
        <v>0</v>
      </c>
      <c r="X114">
        <v>11646</v>
      </c>
      <c r="Y114">
        <v>0</v>
      </c>
      <c r="Z114">
        <f>23*2.59</f>
        <v>59.569999999999993</v>
      </c>
      <c r="AA114">
        <v>0</v>
      </c>
      <c r="AB114">
        <f>225*2.59</f>
        <v>582.75</v>
      </c>
      <c r="AC114">
        <v>0</v>
      </c>
      <c r="AD114">
        <v>670</v>
      </c>
      <c r="AE114">
        <v>0</v>
      </c>
      <c r="AF114">
        <v>183</v>
      </c>
      <c r="AG114">
        <v>0</v>
      </c>
      <c r="AH114">
        <v>49</v>
      </c>
      <c r="AI114">
        <v>0</v>
      </c>
      <c r="AJ114">
        <v>0</v>
      </c>
      <c r="AK114">
        <f t="shared" si="1"/>
        <v>28532.32</v>
      </c>
    </row>
    <row r="115" spans="1:37" x14ac:dyDescent="0.3">
      <c r="A115">
        <v>326</v>
      </c>
      <c r="B115" t="s">
        <v>86</v>
      </c>
      <c r="C115" t="s">
        <v>84</v>
      </c>
      <c r="D115" t="s">
        <v>7</v>
      </c>
      <c r="E115">
        <v>2300550</v>
      </c>
      <c r="F115" s="1">
        <v>45082</v>
      </c>
      <c r="G115" s="1">
        <v>45089</v>
      </c>
      <c r="H115">
        <v>360</v>
      </c>
      <c r="I115">
        <v>4</v>
      </c>
      <c r="J115">
        <v>14070</v>
      </c>
      <c r="K115">
        <v>47</v>
      </c>
      <c r="L115">
        <v>2933</v>
      </c>
      <c r="M115">
        <v>3970</v>
      </c>
      <c r="N115">
        <v>742</v>
      </c>
      <c r="O115">
        <v>1410</v>
      </c>
      <c r="P115">
        <v>682</v>
      </c>
      <c r="Q115">
        <v>0</v>
      </c>
      <c r="R115">
        <v>1192</v>
      </c>
      <c r="S115">
        <v>0</v>
      </c>
      <c r="T115">
        <v>0</v>
      </c>
      <c r="U115">
        <v>0</v>
      </c>
      <c r="V115">
        <v>774</v>
      </c>
      <c r="W115">
        <v>0</v>
      </c>
      <c r="X115">
        <v>1496</v>
      </c>
      <c r="Y115">
        <v>0</v>
      </c>
      <c r="Z115">
        <f>27*2.59</f>
        <v>69.929999999999993</v>
      </c>
      <c r="AA115">
        <v>0</v>
      </c>
      <c r="AB115">
        <f>51*2.59</f>
        <v>132.09</v>
      </c>
      <c r="AC115">
        <v>0</v>
      </c>
      <c r="AD115">
        <v>428</v>
      </c>
      <c r="AE115">
        <v>0</v>
      </c>
      <c r="AF115">
        <v>85</v>
      </c>
      <c r="AG115">
        <v>0</v>
      </c>
      <c r="AH115">
        <v>272</v>
      </c>
      <c r="AI115">
        <v>0</v>
      </c>
      <c r="AJ115">
        <v>0</v>
      </c>
      <c r="AK115">
        <f t="shared" si="1"/>
        <v>28667.02</v>
      </c>
    </row>
    <row r="116" spans="1:37" x14ac:dyDescent="0.3">
      <c r="A116">
        <v>328</v>
      </c>
      <c r="B116" t="s">
        <v>86</v>
      </c>
      <c r="C116" t="s">
        <v>84</v>
      </c>
      <c r="D116" t="s">
        <v>7</v>
      </c>
      <c r="E116">
        <v>2300550</v>
      </c>
      <c r="F116" s="1">
        <v>45093</v>
      </c>
      <c r="G116" s="1">
        <v>45096</v>
      </c>
      <c r="H116">
        <v>389</v>
      </c>
      <c r="I116">
        <v>0</v>
      </c>
      <c r="J116">
        <v>6620</v>
      </c>
      <c r="K116">
        <v>6</v>
      </c>
      <c r="L116">
        <v>1801</v>
      </c>
      <c r="M116">
        <v>0</v>
      </c>
      <c r="N116">
        <v>0</v>
      </c>
      <c r="O116">
        <v>11</v>
      </c>
      <c r="P116">
        <v>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578</v>
      </c>
      <c r="W116">
        <v>0</v>
      </c>
      <c r="X116">
        <v>6764</v>
      </c>
      <c r="Y116">
        <v>0</v>
      </c>
      <c r="Z116">
        <f>21*2.59</f>
        <v>54.39</v>
      </c>
      <c r="AA116">
        <v>0</v>
      </c>
      <c r="AB116">
        <f>25*2.59</f>
        <v>64.75</v>
      </c>
      <c r="AC116">
        <v>0</v>
      </c>
      <c r="AD116">
        <v>980</v>
      </c>
      <c r="AE116">
        <v>0</v>
      </c>
      <c r="AF116">
        <v>187</v>
      </c>
      <c r="AG116">
        <v>0</v>
      </c>
      <c r="AH116">
        <v>54</v>
      </c>
      <c r="AI116">
        <v>0</v>
      </c>
      <c r="AJ116">
        <v>0</v>
      </c>
      <c r="AK116">
        <f t="shared" si="1"/>
        <v>17514.14</v>
      </c>
    </row>
    <row r="117" spans="1:37" x14ac:dyDescent="0.3">
      <c r="A117">
        <v>331</v>
      </c>
      <c r="B117" t="s">
        <v>87</v>
      </c>
      <c r="C117" t="s">
        <v>84</v>
      </c>
      <c r="D117" t="s">
        <v>88</v>
      </c>
      <c r="E117">
        <v>2300320</v>
      </c>
      <c r="F117" s="1">
        <v>44952</v>
      </c>
      <c r="G117" s="1">
        <v>44958</v>
      </c>
      <c r="H117">
        <v>263</v>
      </c>
      <c r="I117">
        <v>0</v>
      </c>
      <c r="J117">
        <v>11941</v>
      </c>
      <c r="K117">
        <v>58</v>
      </c>
      <c r="L117">
        <v>2016</v>
      </c>
      <c r="M117">
        <v>826</v>
      </c>
      <c r="N117">
        <v>59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2957</v>
      </c>
      <c r="W117">
        <v>0</v>
      </c>
      <c r="X117">
        <v>1776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754</v>
      </c>
      <c r="AE117">
        <v>0</v>
      </c>
      <c r="AF117">
        <v>29</v>
      </c>
      <c r="AG117">
        <v>0</v>
      </c>
      <c r="AH117">
        <v>92</v>
      </c>
      <c r="AI117">
        <v>0</v>
      </c>
      <c r="AJ117">
        <v>0</v>
      </c>
      <c r="AK117">
        <f t="shared" si="1"/>
        <v>20771</v>
      </c>
    </row>
    <row r="118" spans="1:37" x14ac:dyDescent="0.3">
      <c r="A118">
        <v>331</v>
      </c>
      <c r="B118" t="s">
        <v>87</v>
      </c>
      <c r="C118" t="s">
        <v>84</v>
      </c>
      <c r="D118" t="s">
        <v>7</v>
      </c>
      <c r="E118">
        <v>2300550</v>
      </c>
      <c r="F118" s="1">
        <v>44952</v>
      </c>
      <c r="G118" s="1">
        <v>44958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f t="shared" si="1"/>
        <v>4</v>
      </c>
    </row>
    <row r="119" spans="1:37" x14ac:dyDescent="0.3">
      <c r="A119">
        <v>334</v>
      </c>
      <c r="B119" t="s">
        <v>87</v>
      </c>
      <c r="C119" t="s">
        <v>84</v>
      </c>
      <c r="D119" t="s">
        <v>88</v>
      </c>
      <c r="E119">
        <v>2300320</v>
      </c>
      <c r="F119" s="1">
        <v>44958</v>
      </c>
      <c r="G119" s="1">
        <v>44965</v>
      </c>
      <c r="H119">
        <v>209</v>
      </c>
      <c r="I119">
        <v>0</v>
      </c>
      <c r="J119">
        <v>32357</v>
      </c>
      <c r="K119">
        <v>400</v>
      </c>
      <c r="L119">
        <v>1359</v>
      </c>
      <c r="M119">
        <v>863</v>
      </c>
      <c r="N119">
        <v>27</v>
      </c>
      <c r="O119">
        <v>0</v>
      </c>
      <c r="P119" s="13"/>
      <c r="Q119">
        <v>30</v>
      </c>
      <c r="R119">
        <v>0</v>
      </c>
      <c r="S119">
        <v>0</v>
      </c>
      <c r="T119">
        <v>0</v>
      </c>
      <c r="U119">
        <v>0</v>
      </c>
      <c r="V119" s="13"/>
      <c r="W119">
        <v>0</v>
      </c>
      <c r="X119">
        <v>116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100</v>
      </c>
      <c r="AE119">
        <v>0</v>
      </c>
      <c r="AF119">
        <v>27</v>
      </c>
      <c r="AG119">
        <v>0</v>
      </c>
      <c r="AH119">
        <v>22</v>
      </c>
      <c r="AI119">
        <v>0</v>
      </c>
      <c r="AJ119">
        <v>0</v>
      </c>
      <c r="AK119">
        <f t="shared" si="1"/>
        <v>35510</v>
      </c>
    </row>
    <row r="120" spans="1:37" x14ac:dyDescent="0.3">
      <c r="A120">
        <v>334</v>
      </c>
      <c r="B120" t="s">
        <v>87</v>
      </c>
      <c r="C120" t="s">
        <v>84</v>
      </c>
      <c r="D120" t="s">
        <v>7</v>
      </c>
      <c r="E120">
        <v>2300550</v>
      </c>
      <c r="F120" s="1">
        <v>44958</v>
      </c>
      <c r="G120" s="1">
        <v>44965</v>
      </c>
      <c r="H120">
        <v>0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f t="shared" si="1"/>
        <v>6</v>
      </c>
    </row>
    <row r="121" spans="1:37" x14ac:dyDescent="0.3">
      <c r="A121">
        <v>336</v>
      </c>
      <c r="B121" t="s">
        <v>87</v>
      </c>
      <c r="C121" t="s">
        <v>84</v>
      </c>
      <c r="D121" t="s">
        <v>7</v>
      </c>
      <c r="E121">
        <v>2300550</v>
      </c>
      <c r="F121" s="1">
        <v>45022</v>
      </c>
      <c r="G121" s="1">
        <v>45026</v>
      </c>
      <c r="H121">
        <v>585</v>
      </c>
      <c r="I121">
        <v>3</v>
      </c>
      <c r="J121">
        <v>5936</v>
      </c>
      <c r="K121">
        <v>269</v>
      </c>
      <c r="L121">
        <v>2510</v>
      </c>
      <c r="M121">
        <v>237</v>
      </c>
      <c r="N121">
        <v>5</v>
      </c>
      <c r="O121">
        <v>0</v>
      </c>
      <c r="P121">
        <v>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543</v>
      </c>
      <c r="W121">
        <v>0</v>
      </c>
      <c r="X121">
        <v>3352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224</v>
      </c>
      <c r="AE121">
        <v>0</v>
      </c>
      <c r="AF121">
        <v>37</v>
      </c>
      <c r="AG121">
        <v>0</v>
      </c>
      <c r="AH121">
        <v>37</v>
      </c>
      <c r="AI121">
        <v>0</v>
      </c>
      <c r="AJ121">
        <v>0</v>
      </c>
      <c r="AK121">
        <f t="shared" si="1"/>
        <v>13743</v>
      </c>
    </row>
    <row r="122" spans="1:37" x14ac:dyDescent="0.3">
      <c r="A122">
        <v>338</v>
      </c>
      <c r="B122" t="s">
        <v>87</v>
      </c>
      <c r="C122" t="s">
        <v>84</v>
      </c>
      <c r="D122" t="s">
        <v>7</v>
      </c>
      <c r="E122">
        <v>2300550</v>
      </c>
      <c r="F122" s="1">
        <v>45027</v>
      </c>
      <c r="G122" s="1">
        <v>45033</v>
      </c>
      <c r="H122">
        <v>1778</v>
      </c>
      <c r="I122">
        <v>0</v>
      </c>
      <c r="J122">
        <v>17808</v>
      </c>
      <c r="K122">
        <v>184</v>
      </c>
      <c r="L122">
        <v>7675</v>
      </c>
      <c r="M122">
        <v>464</v>
      </c>
      <c r="N122">
        <v>18</v>
      </c>
      <c r="O122">
        <v>233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288</v>
      </c>
      <c r="W122">
        <v>0</v>
      </c>
      <c r="X122">
        <v>5226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348</v>
      </c>
      <c r="AE122">
        <v>0</v>
      </c>
      <c r="AF122">
        <v>106</v>
      </c>
      <c r="AG122">
        <v>0</v>
      </c>
      <c r="AH122">
        <v>135</v>
      </c>
      <c r="AI122">
        <v>0</v>
      </c>
      <c r="AJ122">
        <v>0</v>
      </c>
      <c r="AK122">
        <f t="shared" si="1"/>
        <v>34263</v>
      </c>
    </row>
    <row r="123" spans="1:37" x14ac:dyDescent="0.3">
      <c r="A123">
        <v>340</v>
      </c>
      <c r="B123" t="s">
        <v>87</v>
      </c>
      <c r="C123" t="s">
        <v>84</v>
      </c>
      <c r="D123" t="s">
        <v>7</v>
      </c>
      <c r="E123">
        <v>2300550</v>
      </c>
      <c r="F123" s="1">
        <v>45034</v>
      </c>
      <c r="G123" s="1">
        <v>45039</v>
      </c>
      <c r="H123">
        <v>130</v>
      </c>
      <c r="I123">
        <v>17</v>
      </c>
      <c r="J123">
        <v>3660</v>
      </c>
      <c r="K123">
        <v>33</v>
      </c>
      <c r="L123">
        <v>119</v>
      </c>
      <c r="M123">
        <v>372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350</v>
      </c>
      <c r="W123">
        <v>24</v>
      </c>
      <c r="X123">
        <v>2886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358</v>
      </c>
      <c r="AE123">
        <v>0</v>
      </c>
      <c r="AF123">
        <v>40</v>
      </c>
      <c r="AG123">
        <v>0</v>
      </c>
      <c r="AH123">
        <v>71</v>
      </c>
      <c r="AI123">
        <v>0</v>
      </c>
      <c r="AJ123">
        <v>0</v>
      </c>
      <c r="AK123">
        <f t="shared" si="1"/>
        <v>8060</v>
      </c>
    </row>
    <row r="124" spans="1:37" x14ac:dyDescent="0.3">
      <c r="A124">
        <v>355</v>
      </c>
      <c r="B124" t="s">
        <v>87</v>
      </c>
      <c r="C124" t="s">
        <v>84</v>
      </c>
      <c r="D124" t="s">
        <v>7</v>
      </c>
      <c r="E124">
        <v>2300550</v>
      </c>
      <c r="F124" s="1">
        <v>45040</v>
      </c>
      <c r="G124" s="1">
        <v>45048</v>
      </c>
      <c r="H124">
        <v>330</v>
      </c>
      <c r="I124">
        <v>0</v>
      </c>
      <c r="J124">
        <v>6477</v>
      </c>
      <c r="K124">
        <v>74</v>
      </c>
      <c r="L124">
        <v>1937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2486</v>
      </c>
      <c r="W124">
        <v>0</v>
      </c>
      <c r="X124">
        <v>18560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316</v>
      </c>
      <c r="AE124">
        <v>0</v>
      </c>
      <c r="AF124">
        <v>165</v>
      </c>
      <c r="AG124">
        <v>0</v>
      </c>
      <c r="AH124">
        <v>124</v>
      </c>
      <c r="AI124">
        <v>0</v>
      </c>
      <c r="AJ124">
        <v>0</v>
      </c>
      <c r="AK124">
        <f t="shared" si="1"/>
        <v>30469</v>
      </c>
    </row>
    <row r="125" spans="1:37" x14ac:dyDescent="0.3">
      <c r="A125">
        <v>357</v>
      </c>
      <c r="B125" t="s">
        <v>87</v>
      </c>
      <c r="C125" t="s">
        <v>84</v>
      </c>
      <c r="D125" t="s">
        <v>7</v>
      </c>
      <c r="E125">
        <v>2300550</v>
      </c>
      <c r="F125" s="1">
        <v>45049</v>
      </c>
      <c r="G125" s="1">
        <v>45057</v>
      </c>
      <c r="H125">
        <v>710</v>
      </c>
      <c r="I125">
        <v>0</v>
      </c>
      <c r="J125">
        <v>13248</v>
      </c>
      <c r="K125">
        <v>27</v>
      </c>
      <c r="L125">
        <v>1118</v>
      </c>
      <c r="M125">
        <v>0</v>
      </c>
      <c r="N125">
        <v>2</v>
      </c>
      <c r="O125">
        <v>0</v>
      </c>
      <c r="P125">
        <v>25</v>
      </c>
      <c r="Q125">
        <v>0</v>
      </c>
      <c r="R125">
        <v>404</v>
      </c>
      <c r="S125">
        <v>0</v>
      </c>
      <c r="T125">
        <v>0</v>
      </c>
      <c r="U125">
        <v>0</v>
      </c>
      <c r="V125">
        <v>1644</v>
      </c>
      <c r="W125">
        <v>0</v>
      </c>
      <c r="X125">
        <v>13219</v>
      </c>
      <c r="Y125">
        <v>0</v>
      </c>
      <c r="Z125">
        <v>0</v>
      </c>
      <c r="AA125">
        <v>0</v>
      </c>
      <c r="AB125">
        <f>2.59*74</f>
        <v>191.66</v>
      </c>
      <c r="AC125">
        <v>0</v>
      </c>
      <c r="AD125">
        <v>472</v>
      </c>
      <c r="AE125">
        <v>0</v>
      </c>
      <c r="AF125">
        <v>72</v>
      </c>
      <c r="AG125">
        <v>0</v>
      </c>
      <c r="AH125">
        <v>18</v>
      </c>
      <c r="AI125">
        <v>0</v>
      </c>
      <c r="AJ125">
        <v>0</v>
      </c>
      <c r="AK125">
        <f t="shared" si="1"/>
        <v>31150.66</v>
      </c>
    </row>
    <row r="126" spans="1:37" x14ac:dyDescent="0.3">
      <c r="A126">
        <v>359</v>
      </c>
      <c r="B126" t="s">
        <v>87</v>
      </c>
      <c r="C126" t="s">
        <v>84</v>
      </c>
      <c r="D126" t="s">
        <v>7</v>
      </c>
      <c r="E126">
        <v>2300550</v>
      </c>
      <c r="F126" s="1">
        <v>45060</v>
      </c>
      <c r="G126" s="1">
        <v>45067</v>
      </c>
      <c r="H126">
        <v>643</v>
      </c>
      <c r="I126">
        <v>7</v>
      </c>
      <c r="J126">
        <v>17774</v>
      </c>
      <c r="K126">
        <v>112</v>
      </c>
      <c r="L126">
        <v>1174</v>
      </c>
      <c r="M126" s="13">
        <v>388</v>
      </c>
      <c r="N126">
        <v>45</v>
      </c>
      <c r="O126">
        <v>47</v>
      </c>
      <c r="P126">
        <v>13</v>
      </c>
      <c r="Q126">
        <v>0</v>
      </c>
      <c r="R126">
        <v>2828</v>
      </c>
      <c r="S126">
        <v>0</v>
      </c>
      <c r="T126">
        <v>0</v>
      </c>
      <c r="U126">
        <v>0</v>
      </c>
      <c r="V126">
        <v>1025</v>
      </c>
      <c r="W126">
        <v>0</v>
      </c>
      <c r="X126">
        <v>8459</v>
      </c>
      <c r="Y126">
        <v>0</v>
      </c>
      <c r="Z126">
        <f>99*2.59</f>
        <v>256.40999999999997</v>
      </c>
      <c r="AA126">
        <v>0</v>
      </c>
      <c r="AB126">
        <f>26*2.59</f>
        <v>67.34</v>
      </c>
      <c r="AC126">
        <v>0</v>
      </c>
      <c r="AD126">
        <v>478</v>
      </c>
      <c r="AE126">
        <v>0</v>
      </c>
      <c r="AF126">
        <v>23</v>
      </c>
      <c r="AG126">
        <v>0</v>
      </c>
      <c r="AH126">
        <v>133</v>
      </c>
      <c r="AI126">
        <v>0</v>
      </c>
      <c r="AJ126">
        <v>0</v>
      </c>
      <c r="AK126">
        <f t="shared" si="1"/>
        <v>33472.75</v>
      </c>
    </row>
    <row r="127" spans="1:37" x14ac:dyDescent="0.3">
      <c r="A127">
        <v>361</v>
      </c>
      <c r="B127" t="s">
        <v>87</v>
      </c>
      <c r="C127" t="s">
        <v>84</v>
      </c>
      <c r="D127" t="s">
        <v>7</v>
      </c>
      <c r="E127">
        <v>2300550</v>
      </c>
      <c r="F127" s="1">
        <v>45077</v>
      </c>
      <c r="G127" s="1">
        <v>45080</v>
      </c>
      <c r="H127">
        <v>123</v>
      </c>
      <c r="I127">
        <v>2</v>
      </c>
      <c r="J127">
        <v>4468</v>
      </c>
      <c r="K127">
        <v>17</v>
      </c>
      <c r="L127">
        <v>3590</v>
      </c>
      <c r="M127">
        <v>69</v>
      </c>
      <c r="N127">
        <v>0</v>
      </c>
      <c r="O127">
        <v>20</v>
      </c>
      <c r="P127">
        <v>0</v>
      </c>
      <c r="Q127">
        <v>0</v>
      </c>
      <c r="R127">
        <v>476</v>
      </c>
      <c r="S127">
        <v>0</v>
      </c>
      <c r="T127">
        <v>0</v>
      </c>
      <c r="U127">
        <v>0</v>
      </c>
      <c r="V127">
        <v>322</v>
      </c>
      <c r="W127">
        <v>0</v>
      </c>
      <c r="X127">
        <v>1369</v>
      </c>
      <c r="Y127">
        <v>0</v>
      </c>
      <c r="Z127">
        <f>65*2.59</f>
        <v>168.35</v>
      </c>
      <c r="AA127">
        <v>0</v>
      </c>
      <c r="AB127">
        <f>9*2.59</f>
        <v>23.31</v>
      </c>
      <c r="AC127">
        <v>0</v>
      </c>
      <c r="AD127">
        <v>180</v>
      </c>
      <c r="AE127">
        <v>0</v>
      </c>
      <c r="AF127">
        <v>356</v>
      </c>
      <c r="AG127">
        <v>2</v>
      </c>
      <c r="AH127">
        <v>93</v>
      </c>
      <c r="AI127">
        <v>0</v>
      </c>
      <c r="AJ127">
        <v>0</v>
      </c>
      <c r="AK127">
        <f t="shared" si="1"/>
        <v>11278.66</v>
      </c>
    </row>
    <row r="128" spans="1:37" x14ac:dyDescent="0.3">
      <c r="A128">
        <v>363</v>
      </c>
      <c r="B128" t="s">
        <v>90</v>
      </c>
      <c r="C128" t="s">
        <v>91</v>
      </c>
      <c r="D128" t="s">
        <v>7</v>
      </c>
      <c r="E128">
        <v>2200194</v>
      </c>
      <c r="F128" s="1">
        <v>44925</v>
      </c>
      <c r="G128" s="1">
        <v>44931</v>
      </c>
      <c r="H128">
        <v>184</v>
      </c>
      <c r="I128">
        <v>30</v>
      </c>
      <c r="J128">
        <v>11111</v>
      </c>
      <c r="K128">
        <v>18</v>
      </c>
      <c r="L128">
        <v>377</v>
      </c>
      <c r="M128">
        <v>210</v>
      </c>
      <c r="N128">
        <v>0</v>
      </c>
      <c r="O128">
        <v>3</v>
      </c>
      <c r="P128">
        <v>0</v>
      </c>
      <c r="Q128">
        <v>0</v>
      </c>
      <c r="R128">
        <v>2960</v>
      </c>
      <c r="S128">
        <v>0</v>
      </c>
      <c r="T128">
        <v>0</v>
      </c>
      <c r="U128">
        <v>0</v>
      </c>
      <c r="V128">
        <v>916</v>
      </c>
      <c r="W128">
        <v>0</v>
      </c>
      <c r="X128">
        <v>145</v>
      </c>
      <c r="Y128">
        <v>0</v>
      </c>
      <c r="Z128">
        <f>2.59</f>
        <v>2.59</v>
      </c>
      <c r="AA128">
        <v>0</v>
      </c>
      <c r="AB128">
        <f>13*2.59</f>
        <v>33.67</v>
      </c>
      <c r="AC128">
        <v>0</v>
      </c>
      <c r="AD128">
        <v>84</v>
      </c>
      <c r="AE128">
        <v>0</v>
      </c>
      <c r="AF128">
        <v>52</v>
      </c>
      <c r="AG128">
        <v>0</v>
      </c>
      <c r="AH128">
        <v>18</v>
      </c>
      <c r="AI128">
        <v>0</v>
      </c>
      <c r="AJ128">
        <v>0</v>
      </c>
      <c r="AK128">
        <f t="shared" si="1"/>
        <v>16144.26</v>
      </c>
    </row>
    <row r="129" spans="1:37" x14ac:dyDescent="0.3">
      <c r="A129">
        <v>366</v>
      </c>
      <c r="B129" t="s">
        <v>90</v>
      </c>
      <c r="C129" t="s">
        <v>91</v>
      </c>
      <c r="D129" t="s">
        <v>7</v>
      </c>
      <c r="E129">
        <v>2300585</v>
      </c>
      <c r="F129" s="1">
        <v>44932</v>
      </c>
      <c r="G129" s="1">
        <v>44939</v>
      </c>
      <c r="H129">
        <v>176</v>
      </c>
      <c r="I129">
        <v>102</v>
      </c>
      <c r="J129">
        <v>5869</v>
      </c>
      <c r="K129">
        <v>8</v>
      </c>
      <c r="L129">
        <v>15</v>
      </c>
      <c r="M129">
        <v>28</v>
      </c>
      <c r="N129">
        <v>0</v>
      </c>
      <c r="O129">
        <v>0</v>
      </c>
      <c r="P129">
        <v>0</v>
      </c>
      <c r="Q129">
        <v>0</v>
      </c>
      <c r="R129">
        <v>268</v>
      </c>
      <c r="S129">
        <v>0</v>
      </c>
      <c r="T129">
        <v>0</v>
      </c>
      <c r="U129">
        <v>0</v>
      </c>
      <c r="V129">
        <v>774</v>
      </c>
      <c r="W129">
        <v>56</v>
      </c>
      <c r="X129">
        <v>413</v>
      </c>
      <c r="Y129">
        <v>0</v>
      </c>
      <c r="Z129">
        <f>5*2.59</f>
        <v>12.95</v>
      </c>
      <c r="AA129">
        <v>0</v>
      </c>
      <c r="AB129">
        <f>85*2.59</f>
        <v>220.14999999999998</v>
      </c>
      <c r="AC129">
        <v>0</v>
      </c>
      <c r="AD129">
        <v>3132</v>
      </c>
      <c r="AE129">
        <v>1</v>
      </c>
      <c r="AF129">
        <v>74</v>
      </c>
      <c r="AG129">
        <v>0</v>
      </c>
      <c r="AH129">
        <v>456</v>
      </c>
      <c r="AI129">
        <v>6</v>
      </c>
      <c r="AJ129">
        <v>0</v>
      </c>
      <c r="AK129">
        <f t="shared" si="1"/>
        <v>11611.099999999999</v>
      </c>
    </row>
    <row r="130" spans="1:37" x14ac:dyDescent="0.3">
      <c r="A130">
        <v>369</v>
      </c>
      <c r="B130" t="s">
        <v>90</v>
      </c>
      <c r="C130" t="s">
        <v>91</v>
      </c>
      <c r="D130" t="s">
        <v>7</v>
      </c>
      <c r="E130">
        <v>2300585</v>
      </c>
      <c r="F130" s="1">
        <v>44940</v>
      </c>
      <c r="G130" s="1">
        <v>44946</v>
      </c>
      <c r="H130">
        <v>106</v>
      </c>
      <c r="I130">
        <v>105</v>
      </c>
      <c r="J130">
        <v>8213</v>
      </c>
      <c r="K130">
        <v>35</v>
      </c>
      <c r="L130">
        <v>45</v>
      </c>
      <c r="M130">
        <v>83</v>
      </c>
      <c r="N130">
        <v>0</v>
      </c>
      <c r="O130">
        <v>0</v>
      </c>
      <c r="P130">
        <v>0</v>
      </c>
      <c r="Q130">
        <v>0</v>
      </c>
      <c r="R130">
        <v>424</v>
      </c>
      <c r="S130">
        <v>0</v>
      </c>
      <c r="T130">
        <v>0</v>
      </c>
      <c r="U130">
        <v>0</v>
      </c>
      <c r="V130">
        <v>1436</v>
      </c>
      <c r="W130">
        <v>244</v>
      </c>
      <c r="X130">
        <v>175</v>
      </c>
      <c r="Y130">
        <v>0</v>
      </c>
      <c r="Z130">
        <v>2.59</v>
      </c>
      <c r="AA130">
        <v>0</v>
      </c>
      <c r="AB130">
        <f>18*2.59</f>
        <v>46.62</v>
      </c>
      <c r="AC130">
        <v>0</v>
      </c>
      <c r="AD130">
        <v>924</v>
      </c>
      <c r="AE130">
        <v>0</v>
      </c>
      <c r="AF130">
        <v>10</v>
      </c>
      <c r="AG130">
        <v>0</v>
      </c>
      <c r="AH130">
        <v>296</v>
      </c>
      <c r="AI130">
        <v>5</v>
      </c>
      <c r="AJ130">
        <v>0</v>
      </c>
      <c r="AK130">
        <f t="shared" ref="AK130:AK193" si="2">SUM(H130:AJ130)</f>
        <v>12150.210000000001</v>
      </c>
    </row>
    <row r="131" spans="1:37" x14ac:dyDescent="0.3">
      <c r="A131">
        <v>372</v>
      </c>
      <c r="B131" t="s">
        <v>90</v>
      </c>
      <c r="C131" t="s">
        <v>91</v>
      </c>
      <c r="D131" t="s">
        <v>7</v>
      </c>
      <c r="E131">
        <v>2300585</v>
      </c>
      <c r="F131" s="1">
        <v>44947</v>
      </c>
      <c r="G131" s="1">
        <v>44953</v>
      </c>
      <c r="H131">
        <v>69</v>
      </c>
      <c r="I131">
        <v>8</v>
      </c>
      <c r="J131">
        <v>12096</v>
      </c>
      <c r="K131">
        <v>21</v>
      </c>
      <c r="L131">
        <v>174</v>
      </c>
      <c r="M131">
        <v>310</v>
      </c>
      <c r="N131">
        <v>0</v>
      </c>
      <c r="O131">
        <v>0</v>
      </c>
      <c r="P131">
        <v>0</v>
      </c>
      <c r="Q131">
        <v>0</v>
      </c>
      <c r="R131">
        <v>740</v>
      </c>
      <c r="S131">
        <v>0</v>
      </c>
      <c r="T131">
        <v>0</v>
      </c>
      <c r="U131">
        <v>0</v>
      </c>
      <c r="V131">
        <v>1411</v>
      </c>
      <c r="W131">
        <v>8</v>
      </c>
      <c r="X131">
        <v>41</v>
      </c>
      <c r="Y131">
        <v>0</v>
      </c>
      <c r="Z131">
        <v>0</v>
      </c>
      <c r="AA131">
        <v>0</v>
      </c>
      <c r="AB131">
        <f>9*2.59</f>
        <v>23.31</v>
      </c>
      <c r="AC131">
        <v>0</v>
      </c>
      <c r="AD131">
        <v>54</v>
      </c>
      <c r="AE131">
        <v>0</v>
      </c>
      <c r="AF131">
        <v>10</v>
      </c>
      <c r="AG131">
        <v>0</v>
      </c>
      <c r="AH131">
        <v>6</v>
      </c>
      <c r="AI131">
        <v>1</v>
      </c>
      <c r="AJ131">
        <v>0</v>
      </c>
      <c r="AK131">
        <f t="shared" si="2"/>
        <v>14972.31</v>
      </c>
    </row>
    <row r="132" spans="1:37" x14ac:dyDescent="0.3">
      <c r="A132">
        <v>375</v>
      </c>
      <c r="B132" t="s">
        <v>90</v>
      </c>
      <c r="C132" t="s">
        <v>91</v>
      </c>
      <c r="D132" t="s">
        <v>7</v>
      </c>
      <c r="E132">
        <v>2300585</v>
      </c>
      <c r="F132" s="1">
        <v>44958</v>
      </c>
      <c r="G132" s="1">
        <v>44965</v>
      </c>
      <c r="H132">
        <v>134</v>
      </c>
      <c r="I132">
        <v>744</v>
      </c>
      <c r="J132">
        <v>5379</v>
      </c>
      <c r="K132">
        <v>32</v>
      </c>
      <c r="L132">
        <v>14</v>
      </c>
      <c r="M132">
        <v>89</v>
      </c>
      <c r="N132">
        <v>0</v>
      </c>
      <c r="O132">
        <v>0</v>
      </c>
      <c r="P132">
        <v>0</v>
      </c>
      <c r="Q132">
        <v>0</v>
      </c>
      <c r="R132">
        <v>328</v>
      </c>
      <c r="S132">
        <v>0</v>
      </c>
      <c r="T132">
        <v>0</v>
      </c>
      <c r="U132">
        <v>0</v>
      </c>
      <c r="V132">
        <v>1529</v>
      </c>
      <c r="W132">
        <v>353</v>
      </c>
      <c r="X132">
        <v>275</v>
      </c>
      <c r="Y132">
        <v>0</v>
      </c>
      <c r="Z132">
        <f>2*2.59</f>
        <v>5.18</v>
      </c>
      <c r="AA132">
        <v>0</v>
      </c>
      <c r="AB132">
        <f>35*2.59</f>
        <v>90.649999999999991</v>
      </c>
      <c r="AC132">
        <v>0</v>
      </c>
      <c r="AD132">
        <v>1160</v>
      </c>
      <c r="AE132">
        <v>0</v>
      </c>
      <c r="AF132">
        <v>507</v>
      </c>
      <c r="AG132">
        <v>0</v>
      </c>
      <c r="AH132">
        <v>75</v>
      </c>
      <c r="AI132">
        <v>17</v>
      </c>
      <c r="AJ132">
        <v>0</v>
      </c>
      <c r="AK132">
        <f t="shared" si="2"/>
        <v>10731.83</v>
      </c>
    </row>
    <row r="133" spans="1:37" x14ac:dyDescent="0.3">
      <c r="A133">
        <v>378</v>
      </c>
      <c r="B133" t="s">
        <v>90</v>
      </c>
      <c r="C133" t="s">
        <v>91</v>
      </c>
      <c r="D133" t="s">
        <v>7</v>
      </c>
      <c r="E133">
        <v>2300585</v>
      </c>
      <c r="F133" s="1">
        <v>44967</v>
      </c>
      <c r="G133" s="1">
        <v>44973</v>
      </c>
      <c r="H133">
        <v>185</v>
      </c>
      <c r="I133">
        <v>395</v>
      </c>
      <c r="J133">
        <v>7180</v>
      </c>
      <c r="K133">
        <v>11</v>
      </c>
      <c r="L133">
        <v>12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236</v>
      </c>
      <c r="S133">
        <v>0</v>
      </c>
      <c r="T133">
        <v>0</v>
      </c>
      <c r="U133">
        <v>0</v>
      </c>
      <c r="V133">
        <v>3998</v>
      </c>
      <c r="W133">
        <v>23</v>
      </c>
      <c r="X133">
        <v>1016</v>
      </c>
      <c r="Y133">
        <v>0</v>
      </c>
      <c r="Z133">
        <f>3*2.59</f>
        <v>7.77</v>
      </c>
      <c r="AA133">
        <v>0</v>
      </c>
      <c r="AB133">
        <f>53*2.59</f>
        <v>137.26999999999998</v>
      </c>
      <c r="AC133">
        <v>0</v>
      </c>
      <c r="AD133">
        <v>1346</v>
      </c>
      <c r="AE133">
        <v>0</v>
      </c>
      <c r="AF133">
        <v>29</v>
      </c>
      <c r="AG133">
        <v>0</v>
      </c>
      <c r="AH133">
        <v>394</v>
      </c>
      <c r="AI133">
        <v>4</v>
      </c>
      <c r="AJ133">
        <v>0</v>
      </c>
      <c r="AK133">
        <f t="shared" si="2"/>
        <v>14977.04</v>
      </c>
    </row>
    <row r="134" spans="1:37" x14ac:dyDescent="0.3">
      <c r="A134">
        <v>381</v>
      </c>
      <c r="B134" t="s">
        <v>90</v>
      </c>
      <c r="C134" t="s">
        <v>91</v>
      </c>
      <c r="D134" t="s">
        <v>43</v>
      </c>
      <c r="E134">
        <v>2301593</v>
      </c>
      <c r="F134" s="1">
        <v>44975</v>
      </c>
      <c r="G134" s="1">
        <v>44985</v>
      </c>
      <c r="H134">
        <v>280</v>
      </c>
      <c r="I134">
        <v>408</v>
      </c>
      <c r="J134">
        <v>8115</v>
      </c>
      <c r="K134">
        <v>2</v>
      </c>
      <c r="L134">
        <v>7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236</v>
      </c>
      <c r="S134">
        <v>0</v>
      </c>
      <c r="T134">
        <v>0</v>
      </c>
      <c r="U134">
        <v>0</v>
      </c>
      <c r="V134">
        <v>2485</v>
      </c>
      <c r="W134">
        <v>17</v>
      </c>
      <c r="X134">
        <v>646</v>
      </c>
      <c r="Y134">
        <v>0</v>
      </c>
      <c r="Z134">
        <f>5*2.59</f>
        <v>12.95</v>
      </c>
      <c r="AA134">
        <v>0</v>
      </c>
      <c r="AB134">
        <f>98*2.59</f>
        <v>253.82</v>
      </c>
      <c r="AC134">
        <v>0</v>
      </c>
      <c r="AD134">
        <v>1018</v>
      </c>
      <c r="AE134">
        <v>0</v>
      </c>
      <c r="AF134">
        <v>10</v>
      </c>
      <c r="AG134">
        <v>0</v>
      </c>
      <c r="AH134">
        <v>610</v>
      </c>
      <c r="AI134">
        <v>1</v>
      </c>
      <c r="AJ134">
        <v>0</v>
      </c>
      <c r="AK134">
        <f t="shared" si="2"/>
        <v>14103.77</v>
      </c>
    </row>
    <row r="135" spans="1:37" x14ac:dyDescent="0.3">
      <c r="A135">
        <v>384</v>
      </c>
      <c r="B135" t="s">
        <v>90</v>
      </c>
      <c r="C135" t="s">
        <v>91</v>
      </c>
      <c r="D135" t="s">
        <v>7</v>
      </c>
      <c r="E135">
        <v>2300585</v>
      </c>
      <c r="F135" s="1">
        <v>44985</v>
      </c>
      <c r="G135" s="1">
        <v>44991</v>
      </c>
      <c r="H135">
        <v>95</v>
      </c>
      <c r="I135">
        <v>925</v>
      </c>
      <c r="J135">
        <v>10626</v>
      </c>
      <c r="K135">
        <v>44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208</v>
      </c>
      <c r="S135">
        <v>0</v>
      </c>
      <c r="T135">
        <v>0</v>
      </c>
      <c r="U135">
        <v>0</v>
      </c>
      <c r="V135">
        <v>916</v>
      </c>
      <c r="W135">
        <v>8</v>
      </c>
      <c r="X135">
        <v>57</v>
      </c>
      <c r="Y135">
        <v>0</v>
      </c>
      <c r="Z135">
        <f>2*2.59</f>
        <v>5.18</v>
      </c>
      <c r="AA135">
        <v>0</v>
      </c>
      <c r="AB135">
        <f>31*2.59</f>
        <v>80.289999999999992</v>
      </c>
      <c r="AC135">
        <v>0</v>
      </c>
      <c r="AD135">
        <v>530</v>
      </c>
      <c r="AE135">
        <v>0</v>
      </c>
      <c r="AF135">
        <v>132</v>
      </c>
      <c r="AG135">
        <v>0</v>
      </c>
      <c r="AH135">
        <v>145</v>
      </c>
      <c r="AI135">
        <v>10</v>
      </c>
      <c r="AJ135">
        <v>0</v>
      </c>
      <c r="AK135">
        <f t="shared" si="2"/>
        <v>13783.470000000001</v>
      </c>
    </row>
    <row r="136" spans="1:37" x14ac:dyDescent="0.3">
      <c r="A136">
        <v>387</v>
      </c>
      <c r="B136" t="s">
        <v>90</v>
      </c>
      <c r="C136" t="s">
        <v>91</v>
      </c>
      <c r="D136" t="s">
        <v>43</v>
      </c>
      <c r="E136">
        <v>2301593</v>
      </c>
      <c r="F136" s="1">
        <v>44994</v>
      </c>
      <c r="G136" s="1">
        <v>45001</v>
      </c>
      <c r="H136">
        <v>264</v>
      </c>
      <c r="I136">
        <v>370</v>
      </c>
      <c r="J136">
        <v>12470</v>
      </c>
      <c r="K136">
        <v>11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52</v>
      </c>
      <c r="S136">
        <v>0</v>
      </c>
      <c r="T136">
        <v>0</v>
      </c>
      <c r="U136">
        <v>0</v>
      </c>
      <c r="V136">
        <v>755</v>
      </c>
      <c r="W136">
        <v>1</v>
      </c>
      <c r="X136">
        <v>33</v>
      </c>
      <c r="Y136">
        <v>0</v>
      </c>
      <c r="Z136">
        <v>2.59</v>
      </c>
      <c r="AA136">
        <v>0</v>
      </c>
      <c r="AB136">
        <f>25*2.59</f>
        <v>64.75</v>
      </c>
      <c r="AC136">
        <v>0</v>
      </c>
      <c r="AD136">
        <v>124</v>
      </c>
      <c r="AE136">
        <v>0</v>
      </c>
      <c r="AF136">
        <v>32</v>
      </c>
      <c r="AG136">
        <v>0</v>
      </c>
      <c r="AH136">
        <v>170</v>
      </c>
      <c r="AI136">
        <v>1</v>
      </c>
      <c r="AJ136">
        <v>0</v>
      </c>
      <c r="AK136">
        <f t="shared" si="2"/>
        <v>14350.34</v>
      </c>
    </row>
    <row r="137" spans="1:37" x14ac:dyDescent="0.3">
      <c r="A137">
        <v>390</v>
      </c>
      <c r="B137" t="s">
        <v>90</v>
      </c>
      <c r="C137" t="s">
        <v>91</v>
      </c>
      <c r="D137" t="s">
        <v>43</v>
      </c>
      <c r="E137">
        <v>2301593</v>
      </c>
      <c r="F137" s="1">
        <v>45012</v>
      </c>
      <c r="G137" s="1">
        <v>45018</v>
      </c>
      <c r="H137">
        <v>48</v>
      </c>
      <c r="I137">
        <v>395</v>
      </c>
      <c r="J137">
        <v>12576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0</v>
      </c>
      <c r="R137">
        <v>276</v>
      </c>
      <c r="S137">
        <v>0</v>
      </c>
      <c r="T137">
        <v>0</v>
      </c>
      <c r="U137">
        <v>0</v>
      </c>
      <c r="V137">
        <v>890</v>
      </c>
      <c r="W137">
        <v>2</v>
      </c>
      <c r="X137">
        <v>143</v>
      </c>
      <c r="Y137">
        <v>0</v>
      </c>
      <c r="Z137">
        <v>2.59</v>
      </c>
      <c r="AA137">
        <v>0</v>
      </c>
      <c r="AB137">
        <f>12*2.59</f>
        <v>31.08</v>
      </c>
      <c r="AC137">
        <v>0</v>
      </c>
      <c r="AD137">
        <v>758</v>
      </c>
      <c r="AE137">
        <v>0</v>
      </c>
      <c r="AF137">
        <v>43</v>
      </c>
      <c r="AG137">
        <v>0</v>
      </c>
      <c r="AH137">
        <v>471</v>
      </c>
      <c r="AI137">
        <v>7</v>
      </c>
      <c r="AJ137">
        <v>0</v>
      </c>
      <c r="AK137">
        <f t="shared" si="2"/>
        <v>15645.67</v>
      </c>
    </row>
    <row r="138" spans="1:37" x14ac:dyDescent="0.3">
      <c r="A138">
        <v>393</v>
      </c>
      <c r="B138" t="s">
        <v>90</v>
      </c>
      <c r="C138" t="s">
        <v>91</v>
      </c>
      <c r="D138" t="s">
        <v>43</v>
      </c>
      <c r="E138">
        <v>2301593</v>
      </c>
      <c r="F138" s="1">
        <v>45018</v>
      </c>
      <c r="G138" s="1">
        <v>45024</v>
      </c>
      <c r="H138">
        <v>32</v>
      </c>
      <c r="I138">
        <v>684</v>
      </c>
      <c r="J138">
        <v>9070</v>
      </c>
      <c r="K138">
        <v>49</v>
      </c>
      <c r="L138">
        <v>2</v>
      </c>
      <c r="M138">
        <v>24</v>
      </c>
      <c r="N138">
        <v>0</v>
      </c>
      <c r="O138">
        <v>0</v>
      </c>
      <c r="P138">
        <v>0</v>
      </c>
      <c r="Q138">
        <v>0</v>
      </c>
      <c r="R138">
        <v>440</v>
      </c>
      <c r="S138">
        <v>0</v>
      </c>
      <c r="T138">
        <v>0</v>
      </c>
      <c r="U138">
        <v>0</v>
      </c>
      <c r="V138">
        <v>615</v>
      </c>
      <c r="W138">
        <v>2</v>
      </c>
      <c r="X138">
        <v>748</v>
      </c>
      <c r="Y138">
        <v>0</v>
      </c>
      <c r="Z138">
        <v>2.59</v>
      </c>
      <c r="AA138">
        <v>0</v>
      </c>
      <c r="AB138">
        <f>10*2.59</f>
        <v>25.9</v>
      </c>
      <c r="AC138">
        <v>0</v>
      </c>
      <c r="AD138">
        <v>736</v>
      </c>
      <c r="AE138">
        <v>0</v>
      </c>
      <c r="AF138">
        <v>123</v>
      </c>
      <c r="AG138">
        <v>0</v>
      </c>
      <c r="AH138">
        <v>479</v>
      </c>
      <c r="AI138">
        <v>6</v>
      </c>
      <c r="AJ138">
        <v>0</v>
      </c>
      <c r="AK138">
        <f t="shared" si="2"/>
        <v>13038.49</v>
      </c>
    </row>
    <row r="139" spans="1:37" x14ac:dyDescent="0.3">
      <c r="A139">
        <v>396</v>
      </c>
      <c r="B139" t="s">
        <v>90</v>
      </c>
      <c r="C139" t="s">
        <v>91</v>
      </c>
      <c r="D139" t="s">
        <v>43</v>
      </c>
      <c r="E139">
        <v>2301593</v>
      </c>
      <c r="F139" s="1">
        <v>45024</v>
      </c>
      <c r="G139" s="10">
        <v>45031</v>
      </c>
      <c r="H139">
        <v>156</v>
      </c>
      <c r="I139">
        <v>583</v>
      </c>
      <c r="J139">
        <v>11352</v>
      </c>
      <c r="K139">
        <v>8</v>
      </c>
      <c r="L139">
        <v>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424</v>
      </c>
      <c r="S139">
        <v>0</v>
      </c>
      <c r="T139">
        <v>0</v>
      </c>
      <c r="U139">
        <v>0</v>
      </c>
      <c r="V139">
        <v>1168</v>
      </c>
      <c r="W139">
        <v>9</v>
      </c>
      <c r="X139">
        <v>854</v>
      </c>
      <c r="Y139">
        <v>0</v>
      </c>
      <c r="Z139">
        <f>2*2.59</f>
        <v>5.18</v>
      </c>
      <c r="AA139">
        <v>0</v>
      </c>
      <c r="AB139">
        <f>37*2.59</f>
        <v>95.83</v>
      </c>
      <c r="AC139">
        <v>0</v>
      </c>
      <c r="AD139">
        <v>1030</v>
      </c>
      <c r="AE139">
        <v>0</v>
      </c>
      <c r="AF139">
        <v>215</v>
      </c>
      <c r="AG139">
        <v>0</v>
      </c>
      <c r="AH139">
        <v>416</v>
      </c>
      <c r="AI139">
        <v>0</v>
      </c>
      <c r="AJ139">
        <v>0</v>
      </c>
      <c r="AK139">
        <f t="shared" si="2"/>
        <v>16372.01</v>
      </c>
    </row>
    <row r="140" spans="1:37" x14ac:dyDescent="0.3">
      <c r="A140">
        <v>399</v>
      </c>
      <c r="B140" t="s">
        <v>90</v>
      </c>
      <c r="C140" t="s">
        <v>91</v>
      </c>
      <c r="D140" t="s">
        <v>7</v>
      </c>
      <c r="E140">
        <v>2300585</v>
      </c>
      <c r="F140" s="10">
        <v>45030</v>
      </c>
      <c r="G140" s="1">
        <v>45035</v>
      </c>
      <c r="H140">
        <v>54</v>
      </c>
      <c r="I140">
        <v>559</v>
      </c>
      <c r="J140">
        <v>8255</v>
      </c>
      <c r="K140">
        <v>26</v>
      </c>
      <c r="L140">
        <v>149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620</v>
      </c>
      <c r="S140">
        <v>0</v>
      </c>
      <c r="T140">
        <v>0</v>
      </c>
      <c r="U140">
        <v>0</v>
      </c>
      <c r="V140">
        <v>904</v>
      </c>
      <c r="W140">
        <v>1</v>
      </c>
      <c r="X140">
        <v>2131</v>
      </c>
      <c r="Y140">
        <v>0</v>
      </c>
      <c r="Z140">
        <f>2*2.59</f>
        <v>5.18</v>
      </c>
      <c r="AA140">
        <v>0</v>
      </c>
      <c r="AB140">
        <f>37*2.59</f>
        <v>95.83</v>
      </c>
      <c r="AC140">
        <v>0</v>
      </c>
      <c r="AD140">
        <v>274</v>
      </c>
      <c r="AE140">
        <v>0</v>
      </c>
      <c r="AF140">
        <v>193</v>
      </c>
      <c r="AG140">
        <v>0</v>
      </c>
      <c r="AH140">
        <v>451</v>
      </c>
      <c r="AI140">
        <v>7</v>
      </c>
      <c r="AJ140">
        <v>0</v>
      </c>
      <c r="AK140">
        <f t="shared" si="2"/>
        <v>13725.01</v>
      </c>
    </row>
    <row r="141" spans="1:37" x14ac:dyDescent="0.3">
      <c r="A141">
        <v>402</v>
      </c>
      <c r="B141" t="s">
        <v>90</v>
      </c>
      <c r="C141" t="s">
        <v>91</v>
      </c>
      <c r="D141" t="s">
        <v>43</v>
      </c>
      <c r="E141">
        <v>2301593</v>
      </c>
      <c r="F141" s="1">
        <v>45035</v>
      </c>
      <c r="G141" s="1">
        <v>45040</v>
      </c>
      <c r="H141">
        <v>89</v>
      </c>
      <c r="I141">
        <v>257</v>
      </c>
      <c r="J141">
        <v>9728</v>
      </c>
      <c r="K141">
        <v>21</v>
      </c>
      <c r="L141">
        <v>106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572</v>
      </c>
      <c r="S141">
        <v>0</v>
      </c>
      <c r="T141">
        <v>0</v>
      </c>
      <c r="U141">
        <v>0</v>
      </c>
      <c r="V141">
        <v>1001</v>
      </c>
      <c r="W141">
        <v>5</v>
      </c>
      <c r="X141">
        <v>2119</v>
      </c>
      <c r="Y141">
        <v>0</v>
      </c>
      <c r="Z141">
        <v>2.59</v>
      </c>
      <c r="AA141">
        <v>0</v>
      </c>
      <c r="AB141">
        <f>22*2.59</f>
        <v>56.98</v>
      </c>
      <c r="AC141">
        <v>0</v>
      </c>
      <c r="AD141">
        <v>382</v>
      </c>
      <c r="AE141">
        <v>0</v>
      </c>
      <c r="AF141">
        <v>119</v>
      </c>
      <c r="AG141">
        <v>0</v>
      </c>
      <c r="AH141">
        <v>324</v>
      </c>
      <c r="AI141">
        <v>1</v>
      </c>
      <c r="AJ141">
        <v>0</v>
      </c>
      <c r="AK141">
        <f t="shared" si="2"/>
        <v>14783.57</v>
      </c>
    </row>
    <row r="142" spans="1:37" x14ac:dyDescent="0.3">
      <c r="A142">
        <v>405</v>
      </c>
      <c r="B142" t="s">
        <v>90</v>
      </c>
      <c r="C142" t="s">
        <v>91</v>
      </c>
      <c r="D142" t="s">
        <v>43</v>
      </c>
      <c r="E142">
        <v>2301593</v>
      </c>
      <c r="F142" s="1">
        <v>45041</v>
      </c>
      <c r="G142" s="1">
        <v>45049</v>
      </c>
      <c r="H142">
        <v>109</v>
      </c>
      <c r="I142">
        <v>177</v>
      </c>
      <c r="J142">
        <v>5383</v>
      </c>
      <c r="K142">
        <v>26</v>
      </c>
      <c r="L142">
        <v>136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548</v>
      </c>
      <c r="S142">
        <v>0</v>
      </c>
      <c r="T142">
        <v>0</v>
      </c>
      <c r="U142">
        <v>0</v>
      </c>
      <c r="V142">
        <v>1805</v>
      </c>
      <c r="W142">
        <v>2</v>
      </c>
      <c r="X142">
        <v>2223</v>
      </c>
      <c r="Y142">
        <v>0</v>
      </c>
      <c r="Z142">
        <f>5*2.59</f>
        <v>12.95</v>
      </c>
      <c r="AA142">
        <v>0</v>
      </c>
      <c r="AB142">
        <f>91*2.59</f>
        <v>235.69</v>
      </c>
      <c r="AC142">
        <v>0</v>
      </c>
      <c r="AD142">
        <v>934</v>
      </c>
      <c r="AE142">
        <v>0</v>
      </c>
      <c r="AF142">
        <v>107</v>
      </c>
      <c r="AG142">
        <v>0</v>
      </c>
      <c r="AH142">
        <v>353</v>
      </c>
      <c r="AI142">
        <v>5</v>
      </c>
      <c r="AJ142">
        <v>0</v>
      </c>
      <c r="AK142">
        <f t="shared" si="2"/>
        <v>12056.640000000001</v>
      </c>
    </row>
    <row r="143" spans="1:37" x14ac:dyDescent="0.3">
      <c r="A143">
        <v>408</v>
      </c>
      <c r="B143" t="s">
        <v>90</v>
      </c>
      <c r="C143" t="s">
        <v>91</v>
      </c>
      <c r="D143" t="s">
        <v>43</v>
      </c>
      <c r="E143">
        <v>2301593</v>
      </c>
      <c r="F143" s="1">
        <v>45050</v>
      </c>
      <c r="G143" s="1">
        <v>45055</v>
      </c>
      <c r="H143">
        <v>18</v>
      </c>
      <c r="I143">
        <v>141</v>
      </c>
      <c r="J143">
        <v>9075</v>
      </c>
      <c r="K143">
        <v>9</v>
      </c>
      <c r="L143">
        <v>49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1196</v>
      </c>
      <c r="S143">
        <v>0</v>
      </c>
      <c r="T143">
        <v>0</v>
      </c>
      <c r="U143">
        <v>0</v>
      </c>
      <c r="V143">
        <v>1197</v>
      </c>
      <c r="W143">
        <v>117</v>
      </c>
      <c r="X143">
        <v>1369</v>
      </c>
      <c r="Y143">
        <v>0</v>
      </c>
      <c r="Z143">
        <v>0</v>
      </c>
      <c r="AA143">
        <v>0</v>
      </c>
      <c r="AB143">
        <f>7*2.59</f>
        <v>18.13</v>
      </c>
      <c r="AC143">
        <v>0</v>
      </c>
      <c r="AD143">
        <v>1284</v>
      </c>
      <c r="AE143">
        <v>0</v>
      </c>
      <c r="AF143">
        <v>203</v>
      </c>
      <c r="AG143">
        <v>0</v>
      </c>
      <c r="AH143">
        <v>122</v>
      </c>
      <c r="AI143">
        <v>1</v>
      </c>
      <c r="AJ143">
        <v>0</v>
      </c>
      <c r="AK143">
        <f t="shared" si="2"/>
        <v>14799.13</v>
      </c>
    </row>
    <row r="144" spans="1:37" x14ac:dyDescent="0.3">
      <c r="A144">
        <v>411</v>
      </c>
      <c r="B144" t="s">
        <v>90</v>
      </c>
      <c r="C144" t="s">
        <v>91</v>
      </c>
      <c r="D144" t="s">
        <v>43</v>
      </c>
      <c r="E144">
        <v>2301593</v>
      </c>
      <c r="F144" s="1">
        <v>45055</v>
      </c>
      <c r="G144" s="1">
        <v>45061</v>
      </c>
      <c r="H144">
        <v>13</v>
      </c>
      <c r="I144">
        <v>35</v>
      </c>
      <c r="J144">
        <v>7239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196</v>
      </c>
      <c r="S144">
        <v>0</v>
      </c>
      <c r="T144">
        <v>0</v>
      </c>
      <c r="U144">
        <v>0</v>
      </c>
      <c r="V144">
        <v>171</v>
      </c>
      <c r="W144">
        <v>7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500</v>
      </c>
      <c r="AE144">
        <v>0</v>
      </c>
      <c r="AF144">
        <v>3</v>
      </c>
      <c r="AG144">
        <v>0</v>
      </c>
      <c r="AH144">
        <v>6</v>
      </c>
      <c r="AI144">
        <v>0</v>
      </c>
      <c r="AJ144">
        <v>0</v>
      </c>
      <c r="AK144">
        <f t="shared" si="2"/>
        <v>8174</v>
      </c>
    </row>
    <row r="145" spans="1:37" x14ac:dyDescent="0.3">
      <c r="A145">
        <v>414</v>
      </c>
      <c r="B145" t="s">
        <v>90</v>
      </c>
      <c r="C145" t="s">
        <v>91</v>
      </c>
      <c r="D145" t="s">
        <v>43</v>
      </c>
      <c r="E145">
        <v>2301593</v>
      </c>
      <c r="F145" s="1">
        <v>45063</v>
      </c>
      <c r="G145" s="1">
        <v>45069</v>
      </c>
      <c r="H145">
        <v>0</v>
      </c>
      <c r="I145">
        <v>134</v>
      </c>
      <c r="J145">
        <v>9201</v>
      </c>
      <c r="K145">
        <v>12</v>
      </c>
      <c r="L145">
        <v>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1028</v>
      </c>
      <c r="S145">
        <v>0</v>
      </c>
      <c r="T145">
        <v>0</v>
      </c>
      <c r="U145">
        <v>0</v>
      </c>
      <c r="V145">
        <v>221</v>
      </c>
      <c r="W145">
        <v>52</v>
      </c>
      <c r="X145">
        <v>400</v>
      </c>
      <c r="Y145">
        <v>0</v>
      </c>
      <c r="Z145">
        <v>0</v>
      </c>
      <c r="AA145">
        <v>0</v>
      </c>
      <c r="AB145">
        <f>7*2.59</f>
        <v>18.13</v>
      </c>
      <c r="AC145">
        <v>0</v>
      </c>
      <c r="AD145">
        <v>186</v>
      </c>
      <c r="AE145">
        <v>0</v>
      </c>
      <c r="AF145">
        <v>81</v>
      </c>
      <c r="AG145">
        <v>0</v>
      </c>
      <c r="AH145">
        <v>137</v>
      </c>
      <c r="AI145">
        <v>5</v>
      </c>
      <c r="AJ145">
        <v>0</v>
      </c>
      <c r="AK145">
        <f t="shared" si="2"/>
        <v>11480.13</v>
      </c>
    </row>
    <row r="146" spans="1:37" x14ac:dyDescent="0.3">
      <c r="A146">
        <v>417</v>
      </c>
      <c r="B146" t="s">
        <v>90</v>
      </c>
      <c r="C146" t="s">
        <v>91</v>
      </c>
      <c r="D146" t="s">
        <v>43</v>
      </c>
      <c r="E146">
        <v>2301593</v>
      </c>
      <c r="F146" s="1">
        <v>45070</v>
      </c>
      <c r="G146" s="1">
        <v>45076</v>
      </c>
      <c r="H146">
        <v>10</v>
      </c>
      <c r="I146">
        <v>24</v>
      </c>
      <c r="J146">
        <v>7450</v>
      </c>
      <c r="K146">
        <v>11</v>
      </c>
      <c r="L146">
        <v>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716</v>
      </c>
      <c r="S146">
        <v>0</v>
      </c>
      <c r="T146">
        <v>0</v>
      </c>
      <c r="U146">
        <v>0</v>
      </c>
      <c r="V146">
        <v>340</v>
      </c>
      <c r="W146">
        <v>55</v>
      </c>
      <c r="X146">
        <v>1575</v>
      </c>
      <c r="Y146">
        <v>0</v>
      </c>
      <c r="Z146">
        <f>2*2.59</f>
        <v>5.18</v>
      </c>
      <c r="AA146">
        <v>0</v>
      </c>
      <c r="AB146">
        <f>40*2.59</f>
        <v>103.6</v>
      </c>
      <c r="AC146">
        <v>0</v>
      </c>
      <c r="AD146">
        <v>374</v>
      </c>
      <c r="AE146">
        <v>0</v>
      </c>
      <c r="AF146">
        <v>610</v>
      </c>
      <c r="AG146">
        <v>0</v>
      </c>
      <c r="AH146">
        <v>164</v>
      </c>
      <c r="AI146">
        <v>4</v>
      </c>
      <c r="AJ146">
        <v>0</v>
      </c>
      <c r="AK146">
        <f t="shared" si="2"/>
        <v>11483.78</v>
      </c>
    </row>
    <row r="147" spans="1:37" x14ac:dyDescent="0.3">
      <c r="A147">
        <v>420</v>
      </c>
      <c r="B147" t="s">
        <v>92</v>
      </c>
      <c r="C147" t="s">
        <v>93</v>
      </c>
      <c r="D147" t="s">
        <v>7</v>
      </c>
      <c r="E147" t="s">
        <v>94</v>
      </c>
      <c r="F147" s="1">
        <v>45069</v>
      </c>
      <c r="G147" s="1">
        <v>45071</v>
      </c>
      <c r="H147">
        <v>0</v>
      </c>
      <c r="I147">
        <v>122</v>
      </c>
      <c r="J147">
        <v>1419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284</v>
      </c>
      <c r="S147">
        <v>0</v>
      </c>
      <c r="T147">
        <v>0</v>
      </c>
      <c r="U147">
        <v>0</v>
      </c>
      <c r="V147">
        <v>41</v>
      </c>
      <c r="W147">
        <v>39</v>
      </c>
      <c r="X147">
        <v>0</v>
      </c>
      <c r="Y147">
        <v>0</v>
      </c>
      <c r="Z147">
        <v>0</v>
      </c>
      <c r="AA147">
        <v>0</v>
      </c>
      <c r="AB147">
        <f>11*2.59</f>
        <v>28.49</v>
      </c>
      <c r="AC147">
        <v>0</v>
      </c>
      <c r="AD147">
        <v>274</v>
      </c>
      <c r="AE147">
        <v>0</v>
      </c>
      <c r="AF147">
        <v>14</v>
      </c>
      <c r="AG147">
        <v>0</v>
      </c>
      <c r="AH147">
        <v>472</v>
      </c>
      <c r="AI147">
        <v>0</v>
      </c>
      <c r="AJ147">
        <v>0</v>
      </c>
      <c r="AK147">
        <f t="shared" si="2"/>
        <v>2695.49</v>
      </c>
    </row>
    <row r="148" spans="1:37" x14ac:dyDescent="0.3">
      <c r="A148">
        <v>422</v>
      </c>
      <c r="B148" t="s">
        <v>92</v>
      </c>
      <c r="C148" t="s">
        <v>93</v>
      </c>
      <c r="D148" t="s">
        <v>7</v>
      </c>
      <c r="E148" t="s">
        <v>94</v>
      </c>
      <c r="F148" s="1">
        <v>45073</v>
      </c>
      <c r="G148" s="1">
        <v>45076</v>
      </c>
      <c r="H148">
        <v>0</v>
      </c>
      <c r="I148">
        <v>475</v>
      </c>
      <c r="J148">
        <v>1442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64</v>
      </c>
      <c r="S148">
        <v>0</v>
      </c>
      <c r="T148">
        <v>0</v>
      </c>
      <c r="U148">
        <v>0</v>
      </c>
      <c r="V148">
        <v>25</v>
      </c>
      <c r="W148">
        <v>50</v>
      </c>
      <c r="X148">
        <v>5</v>
      </c>
      <c r="Y148">
        <v>0</v>
      </c>
      <c r="Z148">
        <v>0</v>
      </c>
      <c r="AA148">
        <v>0</v>
      </c>
      <c r="AB148">
        <f>27*2.59</f>
        <v>69.929999999999993</v>
      </c>
      <c r="AC148">
        <v>0</v>
      </c>
      <c r="AD148">
        <v>356</v>
      </c>
      <c r="AE148">
        <v>0</v>
      </c>
      <c r="AF148">
        <v>0</v>
      </c>
      <c r="AG148">
        <v>0</v>
      </c>
      <c r="AH148">
        <v>9</v>
      </c>
      <c r="AI148">
        <v>0</v>
      </c>
      <c r="AJ148">
        <v>0</v>
      </c>
      <c r="AK148">
        <f t="shared" si="2"/>
        <v>2496.9299999999998</v>
      </c>
    </row>
    <row r="149" spans="1:37" x14ac:dyDescent="0.3">
      <c r="A149">
        <v>424</v>
      </c>
      <c r="B149" t="s">
        <v>95</v>
      </c>
      <c r="C149" t="s">
        <v>96</v>
      </c>
      <c r="D149" t="s">
        <v>7</v>
      </c>
      <c r="E149">
        <v>2300553</v>
      </c>
      <c r="F149" s="1">
        <v>44950</v>
      </c>
      <c r="G149" s="1">
        <v>44951</v>
      </c>
      <c r="H149">
        <v>25</v>
      </c>
      <c r="I149">
        <v>0</v>
      </c>
      <c r="J149">
        <v>1499</v>
      </c>
      <c r="K149">
        <v>9</v>
      </c>
      <c r="L149">
        <v>327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</v>
      </c>
      <c r="U149">
        <v>0</v>
      </c>
      <c r="V149">
        <v>76</v>
      </c>
      <c r="W149">
        <v>0</v>
      </c>
      <c r="X149">
        <v>15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42</v>
      </c>
      <c r="AE149">
        <v>0</v>
      </c>
      <c r="AF149">
        <v>6</v>
      </c>
      <c r="AG149">
        <v>0</v>
      </c>
      <c r="AH149">
        <v>1</v>
      </c>
      <c r="AI149">
        <v>0</v>
      </c>
      <c r="AJ149">
        <v>0</v>
      </c>
      <c r="AK149">
        <f t="shared" si="2"/>
        <v>2010</v>
      </c>
    </row>
    <row r="150" spans="1:37" x14ac:dyDescent="0.3">
      <c r="A150">
        <v>427</v>
      </c>
      <c r="B150" t="s">
        <v>95</v>
      </c>
      <c r="C150" t="s">
        <v>96</v>
      </c>
      <c r="D150" t="s">
        <v>7</v>
      </c>
      <c r="E150">
        <v>2300553</v>
      </c>
      <c r="F150" s="1">
        <v>44952</v>
      </c>
      <c r="G150" s="1">
        <v>44959</v>
      </c>
      <c r="H150">
        <v>1519</v>
      </c>
      <c r="I150">
        <v>0</v>
      </c>
      <c r="J150">
        <v>13118</v>
      </c>
      <c r="K150">
        <v>44</v>
      </c>
      <c r="L150">
        <v>13699</v>
      </c>
      <c r="M150">
        <v>671</v>
      </c>
      <c r="N150">
        <v>18</v>
      </c>
      <c r="O150">
        <v>7</v>
      </c>
      <c r="P150">
        <v>751</v>
      </c>
      <c r="Q150">
        <v>0</v>
      </c>
      <c r="R150">
        <v>0</v>
      </c>
      <c r="S150">
        <v>0</v>
      </c>
      <c r="T150">
        <v>3</v>
      </c>
      <c r="U150">
        <v>1</v>
      </c>
      <c r="V150">
        <v>616</v>
      </c>
      <c r="W150">
        <v>111</v>
      </c>
      <c r="X150">
        <v>1179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382</v>
      </c>
      <c r="AE150">
        <v>10</v>
      </c>
      <c r="AF150">
        <v>113</v>
      </c>
      <c r="AG150">
        <v>0</v>
      </c>
      <c r="AH150">
        <v>340</v>
      </c>
      <c r="AI150">
        <v>0</v>
      </c>
      <c r="AJ150">
        <v>0</v>
      </c>
      <c r="AK150">
        <f t="shared" si="2"/>
        <v>32582</v>
      </c>
    </row>
    <row r="151" spans="1:37" x14ac:dyDescent="0.3">
      <c r="A151">
        <v>427</v>
      </c>
      <c r="B151" t="s">
        <v>95</v>
      </c>
      <c r="C151" t="s">
        <v>96</v>
      </c>
      <c r="D151" t="s">
        <v>88</v>
      </c>
      <c r="E151">
        <v>2300310</v>
      </c>
      <c r="F151" s="1">
        <v>44952</v>
      </c>
      <c r="G151" s="1">
        <v>44959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f t="shared" si="2"/>
        <v>2</v>
      </c>
    </row>
    <row r="152" spans="1:37" x14ac:dyDescent="0.3">
      <c r="A152">
        <v>430</v>
      </c>
      <c r="B152" t="s">
        <v>95</v>
      </c>
      <c r="C152" t="s">
        <v>96</v>
      </c>
      <c r="D152" t="s">
        <v>88</v>
      </c>
      <c r="E152">
        <v>2300310</v>
      </c>
      <c r="F152" s="1">
        <v>44994</v>
      </c>
      <c r="G152" s="1">
        <v>45000</v>
      </c>
      <c r="H152">
        <v>61</v>
      </c>
      <c r="I152">
        <v>0</v>
      </c>
      <c r="J152">
        <v>41870</v>
      </c>
      <c r="K152">
        <v>0</v>
      </c>
      <c r="L152">
        <v>8109</v>
      </c>
      <c r="M152">
        <v>124</v>
      </c>
      <c r="N152">
        <v>0</v>
      </c>
      <c r="O152">
        <v>0</v>
      </c>
      <c r="P152">
        <v>275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262</v>
      </c>
      <c r="W152">
        <v>0</v>
      </c>
      <c r="X152">
        <v>292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444</v>
      </c>
      <c r="AE152">
        <v>16</v>
      </c>
      <c r="AF152">
        <v>10</v>
      </c>
      <c r="AG152">
        <v>0</v>
      </c>
      <c r="AH152">
        <v>10</v>
      </c>
      <c r="AI152">
        <v>0</v>
      </c>
      <c r="AJ152">
        <v>0</v>
      </c>
      <c r="AK152">
        <f t="shared" si="2"/>
        <v>51473</v>
      </c>
    </row>
    <row r="153" spans="1:37" x14ac:dyDescent="0.3">
      <c r="A153">
        <v>430</v>
      </c>
      <c r="B153" t="s">
        <v>95</v>
      </c>
      <c r="C153" t="s">
        <v>96</v>
      </c>
      <c r="D153" t="s">
        <v>7</v>
      </c>
      <c r="E153">
        <v>2300553</v>
      </c>
      <c r="F153" s="1">
        <v>44994</v>
      </c>
      <c r="G153" s="1">
        <v>45000</v>
      </c>
      <c r="H153">
        <v>0</v>
      </c>
      <c r="I153">
        <v>14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f t="shared" si="2"/>
        <v>14</v>
      </c>
    </row>
    <row r="154" spans="1:37" x14ac:dyDescent="0.3">
      <c r="A154">
        <v>433</v>
      </c>
      <c r="B154" t="s">
        <v>95</v>
      </c>
      <c r="C154" t="s">
        <v>96</v>
      </c>
      <c r="D154" t="s">
        <v>7</v>
      </c>
      <c r="E154">
        <v>2300553</v>
      </c>
      <c r="F154" s="1">
        <v>45010</v>
      </c>
      <c r="G154" s="1">
        <v>45014</v>
      </c>
      <c r="H154">
        <v>298</v>
      </c>
      <c r="I154">
        <v>0</v>
      </c>
      <c r="J154">
        <v>3838</v>
      </c>
      <c r="K154">
        <v>0</v>
      </c>
      <c r="L154">
        <v>6433</v>
      </c>
      <c r="M154">
        <v>79</v>
      </c>
      <c r="N154">
        <v>11</v>
      </c>
      <c r="O154">
        <v>0</v>
      </c>
      <c r="P154">
        <v>153</v>
      </c>
      <c r="Q154">
        <v>0</v>
      </c>
      <c r="R154">
        <v>0</v>
      </c>
      <c r="S154">
        <v>0</v>
      </c>
      <c r="T154">
        <v>144</v>
      </c>
      <c r="U154">
        <v>0</v>
      </c>
      <c r="V154">
        <v>217</v>
      </c>
      <c r="W154">
        <v>0</v>
      </c>
      <c r="X154">
        <v>1539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838</v>
      </c>
      <c r="AE154">
        <v>0</v>
      </c>
      <c r="AF154">
        <v>66</v>
      </c>
      <c r="AG154">
        <v>0</v>
      </c>
      <c r="AH154">
        <v>5</v>
      </c>
      <c r="AI154">
        <v>0</v>
      </c>
      <c r="AJ154">
        <v>0</v>
      </c>
      <c r="AK154">
        <f t="shared" si="2"/>
        <v>13621</v>
      </c>
    </row>
    <row r="155" spans="1:37" x14ac:dyDescent="0.3">
      <c r="A155">
        <v>436</v>
      </c>
      <c r="B155" t="s">
        <v>95</v>
      </c>
      <c r="C155" t="s">
        <v>96</v>
      </c>
      <c r="D155" t="s">
        <v>7</v>
      </c>
      <c r="E155">
        <v>2300553</v>
      </c>
      <c r="F155" s="1">
        <v>45014</v>
      </c>
      <c r="G155" s="1">
        <v>45018</v>
      </c>
      <c r="H155">
        <v>536</v>
      </c>
      <c r="I155">
        <v>8</v>
      </c>
      <c r="J155">
        <v>9121</v>
      </c>
      <c r="K155">
        <v>85</v>
      </c>
      <c r="L155">
        <v>12561</v>
      </c>
      <c r="M155">
        <v>372</v>
      </c>
      <c r="N155">
        <v>9</v>
      </c>
      <c r="O155">
        <v>1266</v>
      </c>
      <c r="P155">
        <v>22</v>
      </c>
      <c r="Q155">
        <v>0</v>
      </c>
      <c r="R155">
        <v>0</v>
      </c>
      <c r="S155">
        <v>0</v>
      </c>
      <c r="T155">
        <v>213</v>
      </c>
      <c r="U155">
        <v>0</v>
      </c>
      <c r="V155">
        <v>358</v>
      </c>
      <c r="W155">
        <v>0</v>
      </c>
      <c r="X155">
        <v>3419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1276</v>
      </c>
      <c r="AE155">
        <v>0</v>
      </c>
      <c r="AF155">
        <v>76</v>
      </c>
      <c r="AG155">
        <v>0</v>
      </c>
      <c r="AH155">
        <v>200</v>
      </c>
      <c r="AI155">
        <v>0</v>
      </c>
      <c r="AJ155">
        <v>0</v>
      </c>
      <c r="AK155">
        <f t="shared" si="2"/>
        <v>29522</v>
      </c>
    </row>
    <row r="156" spans="1:37" x14ac:dyDescent="0.3">
      <c r="A156">
        <v>438</v>
      </c>
      <c r="B156" t="s">
        <v>95</v>
      </c>
      <c r="C156" t="s">
        <v>96</v>
      </c>
      <c r="D156" t="s">
        <v>7</v>
      </c>
      <c r="E156">
        <v>2300553</v>
      </c>
      <c r="F156" s="1">
        <v>45018</v>
      </c>
      <c r="G156" s="1">
        <v>45021</v>
      </c>
      <c r="H156">
        <v>528</v>
      </c>
      <c r="I156">
        <v>0</v>
      </c>
      <c r="J156">
        <v>5349</v>
      </c>
      <c r="K156">
        <v>30</v>
      </c>
      <c r="L156">
        <v>11928</v>
      </c>
      <c r="M156">
        <v>320</v>
      </c>
      <c r="N156">
        <v>14</v>
      </c>
      <c r="O156" s="13"/>
      <c r="P156" s="13">
        <v>13</v>
      </c>
      <c r="Q156">
        <v>0</v>
      </c>
      <c r="R156">
        <v>0</v>
      </c>
      <c r="S156" s="13"/>
      <c r="T156" s="13"/>
      <c r="U156">
        <v>0</v>
      </c>
      <c r="V156">
        <v>0</v>
      </c>
      <c r="W156">
        <v>0</v>
      </c>
      <c r="X156" s="13">
        <v>598</v>
      </c>
      <c r="Y156">
        <v>0</v>
      </c>
      <c r="Z156">
        <f>9*2.59</f>
        <v>23.31</v>
      </c>
      <c r="AA156">
        <v>0</v>
      </c>
      <c r="AB156">
        <f>10*2.59</f>
        <v>25.9</v>
      </c>
      <c r="AC156">
        <v>0</v>
      </c>
      <c r="AD156">
        <v>58</v>
      </c>
      <c r="AE156">
        <v>0</v>
      </c>
      <c r="AF156">
        <v>3</v>
      </c>
      <c r="AG156">
        <v>0</v>
      </c>
      <c r="AH156">
        <v>48</v>
      </c>
      <c r="AI156">
        <v>0</v>
      </c>
      <c r="AJ156">
        <v>0</v>
      </c>
      <c r="AK156">
        <f t="shared" si="2"/>
        <v>18938.210000000003</v>
      </c>
    </row>
    <row r="157" spans="1:37" x14ac:dyDescent="0.3">
      <c r="A157">
        <v>440</v>
      </c>
      <c r="B157" t="s">
        <v>95</v>
      </c>
      <c r="C157" t="s">
        <v>96</v>
      </c>
      <c r="D157" t="s">
        <v>7</v>
      </c>
      <c r="E157">
        <v>2300553</v>
      </c>
      <c r="F157" s="1">
        <v>45022</v>
      </c>
      <c r="G157" s="1">
        <v>45029</v>
      </c>
      <c r="H157">
        <v>1352</v>
      </c>
      <c r="I157">
        <v>23</v>
      </c>
      <c r="J157">
        <v>10014</v>
      </c>
      <c r="K157">
        <v>30</v>
      </c>
      <c r="L157">
        <v>14894</v>
      </c>
      <c r="M157">
        <v>182</v>
      </c>
      <c r="N157">
        <v>0</v>
      </c>
      <c r="O157">
        <v>0</v>
      </c>
      <c r="P157">
        <v>19</v>
      </c>
      <c r="Q157">
        <v>0</v>
      </c>
      <c r="R157">
        <v>0</v>
      </c>
      <c r="S157">
        <v>0</v>
      </c>
      <c r="T157">
        <v>392</v>
      </c>
      <c r="U157">
        <v>2</v>
      </c>
      <c r="V157">
        <v>798</v>
      </c>
      <c r="W157">
        <v>0</v>
      </c>
      <c r="X157">
        <v>5471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430</v>
      </c>
      <c r="AE157">
        <v>0</v>
      </c>
      <c r="AF157">
        <v>148</v>
      </c>
      <c r="AG157">
        <v>0</v>
      </c>
      <c r="AH157">
        <v>220</v>
      </c>
      <c r="AI157">
        <v>0</v>
      </c>
      <c r="AJ157">
        <v>0</v>
      </c>
      <c r="AK157">
        <f t="shared" si="2"/>
        <v>33975</v>
      </c>
    </row>
    <row r="158" spans="1:37" x14ac:dyDescent="0.3">
      <c r="A158">
        <v>442</v>
      </c>
      <c r="B158" t="s">
        <v>95</v>
      </c>
      <c r="C158" t="s">
        <v>96</v>
      </c>
      <c r="D158" t="s">
        <v>7</v>
      </c>
      <c r="E158">
        <v>2300553</v>
      </c>
      <c r="F158" s="1">
        <v>45041</v>
      </c>
      <c r="G158" s="1">
        <v>45049</v>
      </c>
      <c r="H158">
        <v>287</v>
      </c>
      <c r="I158">
        <v>20</v>
      </c>
      <c r="J158">
        <v>7355</v>
      </c>
      <c r="K158">
        <v>204</v>
      </c>
      <c r="L158">
        <v>12492</v>
      </c>
      <c r="M158">
        <v>31</v>
      </c>
      <c r="N158">
        <v>5</v>
      </c>
      <c r="O158">
        <v>0</v>
      </c>
      <c r="P158">
        <v>127</v>
      </c>
      <c r="Q158">
        <v>0</v>
      </c>
      <c r="R158">
        <v>0</v>
      </c>
      <c r="S158">
        <v>0</v>
      </c>
      <c r="T158">
        <v>0</v>
      </c>
      <c r="U158">
        <v>0</v>
      </c>
      <c r="V158" s="13"/>
      <c r="W158">
        <v>9</v>
      </c>
      <c r="X158">
        <v>7073</v>
      </c>
      <c r="Y158">
        <v>0</v>
      </c>
      <c r="Z158">
        <f>10*2.59</f>
        <v>25.9</v>
      </c>
      <c r="AA158">
        <v>0</v>
      </c>
      <c r="AB158">
        <f>369*2.59</f>
        <v>955.70999999999992</v>
      </c>
      <c r="AC158">
        <v>0</v>
      </c>
      <c r="AD158">
        <v>1142</v>
      </c>
      <c r="AE158">
        <v>0</v>
      </c>
      <c r="AF158">
        <v>73</v>
      </c>
      <c r="AG158">
        <v>0</v>
      </c>
      <c r="AH158">
        <v>13</v>
      </c>
      <c r="AI158">
        <v>0</v>
      </c>
      <c r="AJ158">
        <v>0</v>
      </c>
      <c r="AK158">
        <f t="shared" si="2"/>
        <v>29812.61</v>
      </c>
    </row>
    <row r="159" spans="1:37" x14ac:dyDescent="0.3">
      <c r="A159">
        <v>444</v>
      </c>
      <c r="B159" t="s">
        <v>95</v>
      </c>
      <c r="C159" t="s">
        <v>96</v>
      </c>
      <c r="D159" t="s">
        <v>7</v>
      </c>
      <c r="E159">
        <v>230055</v>
      </c>
      <c r="F159" s="1">
        <v>45051</v>
      </c>
      <c r="G159" s="1">
        <v>45057</v>
      </c>
      <c r="H159">
        <v>1274</v>
      </c>
      <c r="I159">
        <v>3</v>
      </c>
      <c r="J159">
        <v>14439</v>
      </c>
      <c r="K159">
        <v>21</v>
      </c>
      <c r="L159">
        <v>12955</v>
      </c>
      <c r="M159">
        <v>162</v>
      </c>
      <c r="N159">
        <v>41</v>
      </c>
      <c r="O159">
        <v>0</v>
      </c>
      <c r="P159">
        <v>16</v>
      </c>
      <c r="Q159">
        <v>0</v>
      </c>
      <c r="R159">
        <v>0</v>
      </c>
      <c r="S159">
        <v>0</v>
      </c>
      <c r="T159">
        <v>294</v>
      </c>
      <c r="U159">
        <v>0</v>
      </c>
      <c r="V159">
        <v>426</v>
      </c>
      <c r="W159">
        <v>0</v>
      </c>
      <c r="X159">
        <v>2324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946</v>
      </c>
      <c r="AE159">
        <v>0</v>
      </c>
      <c r="AF159">
        <v>44</v>
      </c>
      <c r="AG159">
        <v>0</v>
      </c>
      <c r="AH159">
        <v>136</v>
      </c>
      <c r="AI159">
        <v>0</v>
      </c>
      <c r="AJ159">
        <v>0</v>
      </c>
      <c r="AK159">
        <f t="shared" si="2"/>
        <v>33081</v>
      </c>
    </row>
    <row r="160" spans="1:37" x14ac:dyDescent="0.3">
      <c r="A160">
        <v>446</v>
      </c>
      <c r="B160" t="s">
        <v>95</v>
      </c>
      <c r="C160" t="s">
        <v>96</v>
      </c>
      <c r="D160" t="s">
        <v>7</v>
      </c>
      <c r="E160">
        <v>2300553</v>
      </c>
      <c r="F160" s="1">
        <v>45060</v>
      </c>
      <c r="G160" s="1">
        <v>45065</v>
      </c>
      <c r="H160">
        <v>580</v>
      </c>
      <c r="I160">
        <v>2</v>
      </c>
      <c r="J160">
        <v>17323</v>
      </c>
      <c r="K160">
        <v>23</v>
      </c>
      <c r="L160">
        <v>19588</v>
      </c>
      <c r="M160">
        <v>34</v>
      </c>
      <c r="N160">
        <v>7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371</v>
      </c>
      <c r="W160">
        <v>0</v>
      </c>
      <c r="X160">
        <v>54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452</v>
      </c>
      <c r="AE160">
        <v>0</v>
      </c>
      <c r="AF160">
        <v>9</v>
      </c>
      <c r="AG160">
        <v>0</v>
      </c>
      <c r="AH160">
        <v>38</v>
      </c>
      <c r="AI160">
        <v>0</v>
      </c>
      <c r="AJ160">
        <v>0</v>
      </c>
      <c r="AK160">
        <f t="shared" si="2"/>
        <v>38487</v>
      </c>
    </row>
    <row r="161" spans="1:37" x14ac:dyDescent="0.3">
      <c r="A161">
        <v>448</v>
      </c>
      <c r="B161" t="s">
        <v>95</v>
      </c>
      <c r="C161" t="s">
        <v>96</v>
      </c>
      <c r="D161" t="s">
        <v>7</v>
      </c>
      <c r="E161">
        <v>2300553</v>
      </c>
      <c r="F161" s="1">
        <v>45067</v>
      </c>
      <c r="G161" s="1">
        <v>45070</v>
      </c>
      <c r="H161">
        <v>435</v>
      </c>
      <c r="I161">
        <v>2</v>
      </c>
      <c r="J161">
        <v>12111</v>
      </c>
      <c r="K161">
        <v>32</v>
      </c>
      <c r="L161">
        <v>7535</v>
      </c>
      <c r="M161">
        <v>52</v>
      </c>
      <c r="N161">
        <v>38</v>
      </c>
      <c r="O161">
        <v>13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678</v>
      </c>
      <c r="W161">
        <v>0</v>
      </c>
      <c r="X161">
        <v>101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304</v>
      </c>
      <c r="AE161">
        <v>0</v>
      </c>
      <c r="AF161">
        <v>16</v>
      </c>
      <c r="AG161">
        <v>0</v>
      </c>
      <c r="AH161">
        <v>21</v>
      </c>
      <c r="AI161">
        <v>0</v>
      </c>
      <c r="AJ161">
        <v>0</v>
      </c>
      <c r="AK161">
        <f t="shared" si="2"/>
        <v>21338</v>
      </c>
    </row>
    <row r="162" spans="1:37" x14ac:dyDescent="0.3">
      <c r="A162">
        <v>450</v>
      </c>
      <c r="B162" t="s">
        <v>95</v>
      </c>
      <c r="C162" t="s">
        <v>96</v>
      </c>
      <c r="D162" t="s">
        <v>7</v>
      </c>
      <c r="E162">
        <v>2300553</v>
      </c>
      <c r="F162" s="1">
        <v>45072</v>
      </c>
      <c r="G162" s="1">
        <v>45079</v>
      </c>
      <c r="H162">
        <v>1898</v>
      </c>
      <c r="I162">
        <v>0</v>
      </c>
      <c r="J162">
        <v>5256</v>
      </c>
      <c r="K162">
        <v>39</v>
      </c>
      <c r="L162">
        <v>6222</v>
      </c>
      <c r="M162">
        <v>38</v>
      </c>
      <c r="N162">
        <v>25</v>
      </c>
      <c r="O162">
        <v>10</v>
      </c>
      <c r="P162">
        <v>291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1327</v>
      </c>
      <c r="W162">
        <v>0</v>
      </c>
      <c r="X162">
        <v>13877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298</v>
      </c>
      <c r="AE162">
        <v>4</v>
      </c>
      <c r="AF162">
        <v>104</v>
      </c>
      <c r="AG162">
        <v>0</v>
      </c>
      <c r="AH162">
        <v>17</v>
      </c>
      <c r="AI162">
        <v>0</v>
      </c>
      <c r="AJ162">
        <v>0</v>
      </c>
      <c r="AK162">
        <f t="shared" si="2"/>
        <v>29406</v>
      </c>
    </row>
    <row r="163" spans="1:37" x14ac:dyDescent="0.3">
      <c r="A163">
        <v>452</v>
      </c>
      <c r="B163" t="s">
        <v>95</v>
      </c>
      <c r="C163" t="s">
        <v>96</v>
      </c>
      <c r="D163" t="s">
        <v>7</v>
      </c>
      <c r="E163">
        <v>2300553</v>
      </c>
      <c r="F163" s="1">
        <v>45082</v>
      </c>
      <c r="G163" s="1">
        <v>45089</v>
      </c>
      <c r="H163">
        <v>1410</v>
      </c>
      <c r="I163">
        <v>50</v>
      </c>
      <c r="J163">
        <v>8062</v>
      </c>
      <c r="K163">
        <v>85</v>
      </c>
      <c r="L163">
        <v>9483</v>
      </c>
      <c r="M163">
        <v>17</v>
      </c>
      <c r="N163">
        <v>2</v>
      </c>
      <c r="O163">
        <v>4</v>
      </c>
      <c r="P163">
        <v>93</v>
      </c>
      <c r="Q163">
        <v>0</v>
      </c>
      <c r="R163">
        <v>0</v>
      </c>
      <c r="S163">
        <v>0</v>
      </c>
      <c r="T163">
        <v>21</v>
      </c>
      <c r="U163">
        <v>0</v>
      </c>
      <c r="V163">
        <v>909</v>
      </c>
      <c r="W163">
        <v>4</v>
      </c>
      <c r="X163">
        <v>9150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938</v>
      </c>
      <c r="AE163">
        <v>9</v>
      </c>
      <c r="AF163">
        <v>46</v>
      </c>
      <c r="AG163">
        <v>0</v>
      </c>
      <c r="AH163">
        <v>41</v>
      </c>
      <c r="AI163">
        <v>0</v>
      </c>
      <c r="AJ163">
        <v>0</v>
      </c>
      <c r="AK163">
        <f t="shared" si="2"/>
        <v>30324</v>
      </c>
    </row>
    <row r="164" spans="1:37" x14ac:dyDescent="0.3">
      <c r="A164">
        <v>453</v>
      </c>
      <c r="B164" t="s">
        <v>97</v>
      </c>
      <c r="C164" t="s">
        <v>96</v>
      </c>
      <c r="D164" t="s">
        <v>7</v>
      </c>
      <c r="E164">
        <v>2300553</v>
      </c>
      <c r="F164" s="1">
        <v>45120</v>
      </c>
      <c r="G164" s="1">
        <v>45125</v>
      </c>
      <c r="H164">
        <v>663</v>
      </c>
      <c r="I164">
        <v>0</v>
      </c>
      <c r="J164">
        <v>11294</v>
      </c>
      <c r="K164">
        <v>30</v>
      </c>
      <c r="L164">
        <v>3426</v>
      </c>
      <c r="M164">
        <v>619</v>
      </c>
      <c r="N164">
        <v>128</v>
      </c>
      <c r="O164">
        <v>3</v>
      </c>
      <c r="P164">
        <v>293</v>
      </c>
      <c r="Q164">
        <v>0</v>
      </c>
      <c r="R164">
        <v>0</v>
      </c>
      <c r="S164">
        <v>0</v>
      </c>
      <c r="T164">
        <v>147</v>
      </c>
      <c r="U164">
        <v>0</v>
      </c>
      <c r="V164">
        <v>183</v>
      </c>
      <c r="W164">
        <v>0</v>
      </c>
      <c r="X164">
        <v>1441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928</v>
      </c>
      <c r="AE164">
        <v>19</v>
      </c>
      <c r="AF164">
        <v>76</v>
      </c>
      <c r="AG164">
        <v>0</v>
      </c>
      <c r="AH164">
        <v>6</v>
      </c>
      <c r="AI164">
        <v>0</v>
      </c>
      <c r="AJ164">
        <v>0</v>
      </c>
      <c r="AK164">
        <f t="shared" si="2"/>
        <v>19256</v>
      </c>
    </row>
    <row r="165" spans="1:37" x14ac:dyDescent="0.3">
      <c r="A165">
        <v>455</v>
      </c>
      <c r="B165" t="s">
        <v>98</v>
      </c>
      <c r="C165" t="s">
        <v>96</v>
      </c>
      <c r="D165" t="s">
        <v>7</v>
      </c>
      <c r="E165">
        <v>2300553</v>
      </c>
      <c r="F165" s="1">
        <v>45126</v>
      </c>
      <c r="G165" s="1">
        <v>45133</v>
      </c>
      <c r="H165">
        <v>285</v>
      </c>
      <c r="I165">
        <v>8</v>
      </c>
      <c r="J165">
        <v>15069</v>
      </c>
      <c r="K165">
        <v>52</v>
      </c>
      <c r="L165">
        <v>18684</v>
      </c>
      <c r="M165">
        <v>413</v>
      </c>
      <c r="N165">
        <v>108</v>
      </c>
      <c r="O165">
        <v>484</v>
      </c>
      <c r="P165">
        <v>323</v>
      </c>
      <c r="Q165">
        <v>0</v>
      </c>
      <c r="R165">
        <v>0</v>
      </c>
      <c r="S165">
        <v>0</v>
      </c>
      <c r="T165">
        <v>115</v>
      </c>
      <c r="U165">
        <v>0</v>
      </c>
      <c r="V165">
        <v>626</v>
      </c>
      <c r="W165">
        <v>1</v>
      </c>
      <c r="X165">
        <v>1635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436</v>
      </c>
      <c r="AE165">
        <v>0</v>
      </c>
      <c r="AF165">
        <v>386</v>
      </c>
      <c r="AG165">
        <v>0</v>
      </c>
      <c r="AH165">
        <v>834</v>
      </c>
      <c r="AI165">
        <v>0</v>
      </c>
      <c r="AJ165">
        <v>0</v>
      </c>
      <c r="AK165">
        <f t="shared" si="2"/>
        <v>39459</v>
      </c>
    </row>
    <row r="166" spans="1:37" x14ac:dyDescent="0.3">
      <c r="A166">
        <v>457</v>
      </c>
      <c r="C166" t="s">
        <v>99</v>
      </c>
      <c r="D166" t="s">
        <v>100</v>
      </c>
      <c r="E166">
        <v>2304731</v>
      </c>
      <c r="F166" s="1">
        <v>45196</v>
      </c>
      <c r="G166" s="1">
        <v>45203</v>
      </c>
      <c r="H166">
        <v>0</v>
      </c>
      <c r="I166">
        <v>606</v>
      </c>
      <c r="J166">
        <v>2294</v>
      </c>
      <c r="K166">
        <v>0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>
        <v>0</v>
      </c>
      <c r="AD166" s="4"/>
      <c r="AE166" s="4"/>
      <c r="AF166" s="4"/>
      <c r="AG166" s="4"/>
      <c r="AH166" s="4"/>
      <c r="AI166" s="4"/>
      <c r="AJ166" s="4"/>
      <c r="AK166">
        <f t="shared" si="2"/>
        <v>2903</v>
      </c>
    </row>
    <row r="167" spans="1:37" x14ac:dyDescent="0.3">
      <c r="A167">
        <v>460</v>
      </c>
      <c r="C167" t="s">
        <v>84</v>
      </c>
      <c r="D167" t="s">
        <v>7</v>
      </c>
      <c r="E167" s="4">
        <v>2300550</v>
      </c>
      <c r="F167" s="1">
        <v>45154</v>
      </c>
      <c r="G167" s="1">
        <v>45160</v>
      </c>
      <c r="H167">
        <v>226</v>
      </c>
      <c r="I167">
        <v>0</v>
      </c>
      <c r="J167">
        <v>8633</v>
      </c>
      <c r="K167">
        <v>3</v>
      </c>
      <c r="L167">
        <v>5904</v>
      </c>
      <c r="M167">
        <v>0</v>
      </c>
      <c r="N167">
        <v>0</v>
      </c>
      <c r="O167">
        <v>113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1012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>40*2.59</f>
        <v>103.6</v>
      </c>
      <c r="AC167">
        <v>0</v>
      </c>
      <c r="AD167">
        <v>878</v>
      </c>
      <c r="AE167">
        <v>0</v>
      </c>
      <c r="AF167">
        <v>310</v>
      </c>
      <c r="AG167">
        <v>0</v>
      </c>
      <c r="AH167">
        <v>597</v>
      </c>
      <c r="AI167">
        <v>0</v>
      </c>
      <c r="AJ167">
        <v>0</v>
      </c>
      <c r="AK167">
        <f t="shared" si="2"/>
        <v>17779.599999999999</v>
      </c>
    </row>
    <row r="168" spans="1:37" x14ac:dyDescent="0.3">
      <c r="A168">
        <v>462</v>
      </c>
      <c r="C168" t="s">
        <v>96</v>
      </c>
      <c r="D168" t="s">
        <v>7</v>
      </c>
      <c r="E168">
        <v>2300553</v>
      </c>
      <c r="F168" s="1">
        <v>45154</v>
      </c>
      <c r="G168" s="1">
        <v>45159</v>
      </c>
      <c r="H168">
        <v>179</v>
      </c>
      <c r="I168">
        <v>0</v>
      </c>
      <c r="J168">
        <v>11151</v>
      </c>
      <c r="K168">
        <v>23</v>
      </c>
      <c r="L168">
        <v>16828</v>
      </c>
      <c r="M168">
        <v>265</v>
      </c>
      <c r="N168">
        <v>47</v>
      </c>
      <c r="O168">
        <v>7</v>
      </c>
      <c r="P168">
        <v>688</v>
      </c>
      <c r="Q168">
        <v>0</v>
      </c>
      <c r="R168">
        <v>0</v>
      </c>
      <c r="S168">
        <v>0</v>
      </c>
      <c r="T168">
        <v>969</v>
      </c>
      <c r="U168">
        <v>0</v>
      </c>
      <c r="V168">
        <v>279</v>
      </c>
      <c r="W168">
        <v>9</v>
      </c>
      <c r="X168">
        <v>2240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942</v>
      </c>
      <c r="AE168">
        <v>0</v>
      </c>
      <c r="AF168">
        <v>64</v>
      </c>
      <c r="AG168">
        <v>0</v>
      </c>
      <c r="AH168">
        <v>3</v>
      </c>
      <c r="AI168">
        <v>0</v>
      </c>
      <c r="AJ168">
        <v>0</v>
      </c>
      <c r="AK168">
        <f t="shared" si="2"/>
        <v>33694</v>
      </c>
    </row>
    <row r="169" spans="1:37" x14ac:dyDescent="0.3">
      <c r="A169">
        <v>464</v>
      </c>
      <c r="C169" t="s">
        <v>96</v>
      </c>
      <c r="D169" t="s">
        <v>101</v>
      </c>
      <c r="E169">
        <v>2308543</v>
      </c>
      <c r="F169" s="1">
        <v>45161</v>
      </c>
      <c r="G169" s="1">
        <v>45169</v>
      </c>
      <c r="H169">
        <v>131</v>
      </c>
      <c r="I169">
        <v>0</v>
      </c>
      <c r="J169">
        <v>23753</v>
      </c>
      <c r="K169">
        <v>3590</v>
      </c>
      <c r="L169">
        <v>12083</v>
      </c>
      <c r="M169">
        <v>537</v>
      </c>
      <c r="N169">
        <v>590</v>
      </c>
      <c r="O169">
        <v>17</v>
      </c>
      <c r="P169">
        <v>820</v>
      </c>
      <c r="Q169">
        <v>0</v>
      </c>
      <c r="R169">
        <v>0</v>
      </c>
      <c r="S169">
        <v>391</v>
      </c>
      <c r="T169">
        <v>0</v>
      </c>
      <c r="U169" s="4">
        <v>361</v>
      </c>
      <c r="V169">
        <v>0</v>
      </c>
      <c r="W169">
        <v>6301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94</v>
      </c>
      <c r="AE169">
        <v>0</v>
      </c>
      <c r="AF169">
        <v>106</v>
      </c>
      <c r="AG169">
        <v>0</v>
      </c>
      <c r="AH169">
        <v>66</v>
      </c>
      <c r="AI169">
        <v>0</v>
      </c>
      <c r="AJ169">
        <v>0</v>
      </c>
      <c r="AK169">
        <f t="shared" si="2"/>
        <v>48840</v>
      </c>
    </row>
    <row r="170" spans="1:37" x14ac:dyDescent="0.3">
      <c r="A170">
        <v>466</v>
      </c>
      <c r="C170" t="s">
        <v>84</v>
      </c>
      <c r="D170" t="s">
        <v>7</v>
      </c>
      <c r="E170">
        <v>2300550</v>
      </c>
      <c r="F170" s="1">
        <v>45162</v>
      </c>
      <c r="G170" s="1">
        <v>45169</v>
      </c>
      <c r="H170">
        <v>45</v>
      </c>
      <c r="I170">
        <v>0</v>
      </c>
      <c r="J170">
        <v>26957</v>
      </c>
      <c r="K170">
        <v>556</v>
      </c>
      <c r="L170">
        <v>2257</v>
      </c>
      <c r="M170">
        <v>781</v>
      </c>
      <c r="N170">
        <v>668</v>
      </c>
      <c r="O170">
        <v>0</v>
      </c>
      <c r="P170">
        <v>394</v>
      </c>
      <c r="Q170">
        <v>0</v>
      </c>
      <c r="R170">
        <v>156</v>
      </c>
      <c r="S170">
        <v>0</v>
      </c>
      <c r="T170">
        <v>0</v>
      </c>
      <c r="U170">
        <v>0</v>
      </c>
      <c r="V170">
        <v>435</v>
      </c>
      <c r="W170">
        <v>0</v>
      </c>
      <c r="X170">
        <v>3610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66</v>
      </c>
      <c r="AE170">
        <v>0</v>
      </c>
      <c r="AF170">
        <v>71</v>
      </c>
      <c r="AG170">
        <v>0</v>
      </c>
      <c r="AH170">
        <v>142</v>
      </c>
      <c r="AI170">
        <v>0</v>
      </c>
      <c r="AJ170">
        <v>0</v>
      </c>
      <c r="AK170">
        <f t="shared" si="2"/>
        <v>36138</v>
      </c>
    </row>
    <row r="171" spans="1:37" x14ac:dyDescent="0.3">
      <c r="A171">
        <v>469</v>
      </c>
      <c r="C171" t="s">
        <v>96</v>
      </c>
      <c r="D171" t="s">
        <v>101</v>
      </c>
      <c r="E171" s="4">
        <v>2306843</v>
      </c>
      <c r="F171" s="1">
        <v>45171</v>
      </c>
      <c r="G171" s="1">
        <v>45179</v>
      </c>
      <c r="H171">
        <v>186</v>
      </c>
      <c r="I171">
        <v>0</v>
      </c>
      <c r="J171">
        <v>16483</v>
      </c>
      <c r="K171">
        <v>3581</v>
      </c>
      <c r="L171">
        <v>9852</v>
      </c>
      <c r="M171">
        <v>430</v>
      </c>
      <c r="N171">
        <v>144</v>
      </c>
      <c r="O171">
        <v>0</v>
      </c>
      <c r="P171">
        <v>805</v>
      </c>
      <c r="Q171">
        <v>0</v>
      </c>
      <c r="R171">
        <v>304</v>
      </c>
      <c r="S171">
        <v>0</v>
      </c>
      <c r="T171">
        <v>59</v>
      </c>
      <c r="U171">
        <v>0</v>
      </c>
      <c r="V171">
        <v>477</v>
      </c>
      <c r="W171">
        <v>67</v>
      </c>
      <c r="X171">
        <v>6223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416</v>
      </c>
      <c r="AE171">
        <v>0</v>
      </c>
      <c r="AF171">
        <v>246</v>
      </c>
      <c r="AG171">
        <v>0</v>
      </c>
      <c r="AH171">
        <v>68</v>
      </c>
      <c r="AI171">
        <v>0</v>
      </c>
      <c r="AJ171">
        <v>0</v>
      </c>
      <c r="AK171">
        <f t="shared" si="2"/>
        <v>39341</v>
      </c>
    </row>
    <row r="172" spans="1:37" x14ac:dyDescent="0.3">
      <c r="A172">
        <v>469</v>
      </c>
      <c r="C172" t="s">
        <v>96</v>
      </c>
      <c r="D172" t="s">
        <v>7</v>
      </c>
      <c r="E172">
        <v>2300553</v>
      </c>
      <c r="F172" s="1">
        <v>45171</v>
      </c>
      <c r="G172" s="1">
        <v>45179</v>
      </c>
      <c r="H172">
        <v>0</v>
      </c>
      <c r="I172">
        <v>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f t="shared" si="2"/>
        <v>37</v>
      </c>
    </row>
    <row r="173" spans="1:37" x14ac:dyDescent="0.3">
      <c r="A173">
        <v>471</v>
      </c>
      <c r="C173" t="s">
        <v>84</v>
      </c>
      <c r="D173" t="s">
        <v>7</v>
      </c>
      <c r="E173">
        <v>2300550</v>
      </c>
      <c r="F173" s="1">
        <v>45176</v>
      </c>
      <c r="G173" s="1">
        <v>45183</v>
      </c>
      <c r="H173">
        <v>138</v>
      </c>
      <c r="I173">
        <v>0</v>
      </c>
      <c r="J173">
        <v>26544</v>
      </c>
      <c r="K173">
        <v>1617</v>
      </c>
      <c r="L173">
        <v>401</v>
      </c>
      <c r="M173">
        <v>664</v>
      </c>
      <c r="N173">
        <v>29</v>
      </c>
      <c r="O173">
        <v>0</v>
      </c>
      <c r="P173">
        <v>494</v>
      </c>
      <c r="Q173">
        <v>0</v>
      </c>
      <c r="R173">
        <v>36</v>
      </c>
      <c r="S173">
        <v>0</v>
      </c>
      <c r="T173">
        <v>0</v>
      </c>
      <c r="U173">
        <v>0</v>
      </c>
      <c r="V173">
        <v>503</v>
      </c>
      <c r="W173">
        <v>0</v>
      </c>
      <c r="X173">
        <v>6587</v>
      </c>
      <c r="Y173">
        <v>0</v>
      </c>
      <c r="Z173" s="14">
        <f>10*2.59</f>
        <v>25.9</v>
      </c>
      <c r="AA173">
        <v>0</v>
      </c>
      <c r="AB173">
        <f>26*2.59</f>
        <v>67.34</v>
      </c>
      <c r="AC173">
        <v>0</v>
      </c>
      <c r="AD173">
        <v>404</v>
      </c>
      <c r="AE173">
        <v>0</v>
      </c>
      <c r="AF173">
        <v>143</v>
      </c>
      <c r="AG173">
        <v>0</v>
      </c>
      <c r="AH173">
        <v>730</v>
      </c>
      <c r="AI173">
        <v>0</v>
      </c>
      <c r="AJ173">
        <v>0</v>
      </c>
      <c r="AK173">
        <f t="shared" si="2"/>
        <v>38383.24</v>
      </c>
    </row>
    <row r="174" spans="1:37" x14ac:dyDescent="0.3">
      <c r="A174">
        <v>473</v>
      </c>
      <c r="C174" t="s">
        <v>93</v>
      </c>
      <c r="D174" t="s">
        <v>102</v>
      </c>
      <c r="E174">
        <v>2305890</v>
      </c>
      <c r="F174" s="1">
        <v>45181</v>
      </c>
      <c r="G174" s="1">
        <v>45183</v>
      </c>
      <c r="H174">
        <v>0</v>
      </c>
      <c r="I174">
        <v>0</v>
      </c>
      <c r="J174">
        <v>200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180</v>
      </c>
      <c r="S174">
        <v>0</v>
      </c>
      <c r="T174">
        <v>0</v>
      </c>
      <c r="U174">
        <v>0</v>
      </c>
      <c r="V174">
        <v>10</v>
      </c>
      <c r="W174">
        <v>30</v>
      </c>
      <c r="X174">
        <v>0</v>
      </c>
      <c r="Y174">
        <v>0</v>
      </c>
      <c r="Z174">
        <v>0</v>
      </c>
      <c r="AA174">
        <v>0</v>
      </c>
      <c r="AB174">
        <f>41*2.59</f>
        <v>106.19</v>
      </c>
      <c r="AC174">
        <v>0</v>
      </c>
      <c r="AD174">
        <v>520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f t="shared" si="2"/>
        <v>1046.19</v>
      </c>
    </row>
    <row r="175" spans="1:37" x14ac:dyDescent="0.3">
      <c r="A175">
        <v>473</v>
      </c>
      <c r="C175" t="s">
        <v>93</v>
      </c>
      <c r="D175" t="s">
        <v>7</v>
      </c>
      <c r="E175">
        <v>2300546</v>
      </c>
      <c r="F175" s="1">
        <v>45181</v>
      </c>
      <c r="G175" s="1">
        <v>45183</v>
      </c>
      <c r="H175">
        <v>0</v>
      </c>
      <c r="I175">
        <v>87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f t="shared" si="2"/>
        <v>87</v>
      </c>
    </row>
    <row r="176" spans="1:37" x14ac:dyDescent="0.3">
      <c r="A176">
        <v>474</v>
      </c>
      <c r="C176" t="s">
        <v>93</v>
      </c>
      <c r="D176" t="s">
        <v>102</v>
      </c>
      <c r="E176">
        <v>2305890</v>
      </c>
      <c r="F176" s="1">
        <v>45187</v>
      </c>
      <c r="G176" s="1">
        <v>45192</v>
      </c>
      <c r="H176">
        <v>6</v>
      </c>
      <c r="I176">
        <v>0</v>
      </c>
      <c r="J176">
        <v>1218</v>
      </c>
      <c r="K176">
        <v>20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676</v>
      </c>
      <c r="S176">
        <v>0</v>
      </c>
      <c r="T176">
        <v>0</v>
      </c>
      <c r="U176">
        <v>0</v>
      </c>
      <c r="V176">
        <v>127</v>
      </c>
      <c r="W176">
        <v>126</v>
      </c>
      <c r="X176">
        <v>858</v>
      </c>
      <c r="Y176">
        <v>0</v>
      </c>
      <c r="Z176">
        <v>0</v>
      </c>
      <c r="AA176">
        <v>0</v>
      </c>
      <c r="AB176">
        <f>129*2.59</f>
        <v>334.10999999999996</v>
      </c>
      <c r="AC176">
        <v>0</v>
      </c>
      <c r="AD176">
        <v>810</v>
      </c>
      <c r="AE176">
        <v>0</v>
      </c>
      <c r="AF176">
        <v>66</v>
      </c>
      <c r="AG176">
        <v>0</v>
      </c>
      <c r="AH176">
        <v>6</v>
      </c>
      <c r="AI176">
        <v>0</v>
      </c>
      <c r="AJ176">
        <v>0</v>
      </c>
      <c r="AK176">
        <f t="shared" si="2"/>
        <v>4247.1100000000006</v>
      </c>
    </row>
    <row r="177" spans="1:37" x14ac:dyDescent="0.3">
      <c r="A177">
        <v>474</v>
      </c>
      <c r="C177" t="s">
        <v>93</v>
      </c>
      <c r="D177" t="s">
        <v>7</v>
      </c>
      <c r="E177">
        <v>2300546</v>
      </c>
      <c r="F177" s="1">
        <v>45187</v>
      </c>
      <c r="G177" s="1">
        <v>45192</v>
      </c>
      <c r="H177">
        <v>0</v>
      </c>
      <c r="I177">
        <v>266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f t="shared" si="2"/>
        <v>266</v>
      </c>
    </row>
    <row r="178" spans="1:37" x14ac:dyDescent="0.3">
      <c r="A178">
        <v>476</v>
      </c>
      <c r="C178" t="s">
        <v>96</v>
      </c>
      <c r="D178" t="s">
        <v>101</v>
      </c>
      <c r="E178">
        <v>2306843</v>
      </c>
      <c r="F178" s="1">
        <v>45187</v>
      </c>
      <c r="G178" s="1">
        <v>45192</v>
      </c>
      <c r="H178">
        <v>176</v>
      </c>
      <c r="I178">
        <v>0</v>
      </c>
      <c r="J178">
        <v>4891</v>
      </c>
      <c r="K178">
        <v>619</v>
      </c>
      <c r="L178">
        <v>6617</v>
      </c>
      <c r="M178">
        <v>509</v>
      </c>
      <c r="N178">
        <v>533</v>
      </c>
      <c r="O178">
        <v>0</v>
      </c>
      <c r="P178">
        <v>766</v>
      </c>
      <c r="Q178">
        <v>0</v>
      </c>
      <c r="R178">
        <v>156</v>
      </c>
      <c r="S178">
        <v>0</v>
      </c>
      <c r="T178">
        <v>9</v>
      </c>
      <c r="U178">
        <v>0</v>
      </c>
      <c r="V178">
        <v>381</v>
      </c>
      <c r="W178">
        <v>15</v>
      </c>
      <c r="X178">
        <v>5278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294</v>
      </c>
      <c r="AE178">
        <v>0</v>
      </c>
      <c r="AF178">
        <v>87</v>
      </c>
      <c r="AG178">
        <v>0</v>
      </c>
      <c r="AH178">
        <v>228</v>
      </c>
      <c r="AI178">
        <v>0</v>
      </c>
      <c r="AJ178">
        <v>0</v>
      </c>
      <c r="AK178">
        <f t="shared" si="2"/>
        <v>20559</v>
      </c>
    </row>
    <row r="179" spans="1:37" x14ac:dyDescent="0.3">
      <c r="A179">
        <v>476</v>
      </c>
      <c r="C179" t="s">
        <v>96</v>
      </c>
      <c r="D179" t="s">
        <v>7</v>
      </c>
      <c r="E179">
        <v>2300553</v>
      </c>
      <c r="F179" s="1">
        <v>45187</v>
      </c>
      <c r="G179" s="1">
        <v>45192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f t="shared" si="2"/>
        <v>2</v>
      </c>
    </row>
    <row r="180" spans="1:37" x14ac:dyDescent="0.3">
      <c r="A180">
        <v>478</v>
      </c>
      <c r="C180" t="s">
        <v>96</v>
      </c>
      <c r="D180" t="s">
        <v>101</v>
      </c>
      <c r="E180">
        <v>2306843</v>
      </c>
      <c r="F180" s="1">
        <v>45195</v>
      </c>
      <c r="G180" s="1">
        <v>45199</v>
      </c>
      <c r="H180">
        <v>133</v>
      </c>
      <c r="I180">
        <v>0</v>
      </c>
      <c r="J180">
        <v>7207</v>
      </c>
      <c r="K180">
        <v>41</v>
      </c>
      <c r="L180">
        <v>8145</v>
      </c>
      <c r="M180">
        <v>365</v>
      </c>
      <c r="N180">
        <v>351</v>
      </c>
      <c r="O180">
        <v>594</v>
      </c>
      <c r="P180">
        <v>315</v>
      </c>
      <c r="Q180">
        <v>0</v>
      </c>
      <c r="R180">
        <v>972</v>
      </c>
      <c r="S180">
        <v>0</v>
      </c>
      <c r="T180">
        <v>360</v>
      </c>
      <c r="U180">
        <v>0</v>
      </c>
      <c r="V180">
        <v>371</v>
      </c>
      <c r="W180">
        <v>79</v>
      </c>
      <c r="X180">
        <v>8335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290</v>
      </c>
      <c r="AE180">
        <v>10</v>
      </c>
      <c r="AF180">
        <v>1062</v>
      </c>
      <c r="AG180">
        <v>0</v>
      </c>
      <c r="AH180">
        <v>711</v>
      </c>
      <c r="AI180">
        <v>0</v>
      </c>
      <c r="AJ180">
        <v>0</v>
      </c>
      <c r="AK180">
        <f t="shared" si="2"/>
        <v>29341</v>
      </c>
    </row>
    <row r="181" spans="1:37" x14ac:dyDescent="0.3">
      <c r="A181">
        <v>478</v>
      </c>
      <c r="C181" t="s">
        <v>96</v>
      </c>
      <c r="D181" t="s">
        <v>7</v>
      </c>
      <c r="E181">
        <v>2300553</v>
      </c>
      <c r="F181" s="1">
        <v>45195</v>
      </c>
      <c r="G181" s="1">
        <v>45199</v>
      </c>
      <c r="H181">
        <v>0</v>
      </c>
      <c r="I181">
        <v>25</v>
      </c>
      <c r="J181">
        <v>2219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f t="shared" si="2"/>
        <v>2244</v>
      </c>
    </row>
    <row r="182" spans="1:37" x14ac:dyDescent="0.3">
      <c r="A182">
        <v>480</v>
      </c>
      <c r="C182" t="s">
        <v>84</v>
      </c>
      <c r="D182" t="s">
        <v>102</v>
      </c>
      <c r="E182">
        <v>2305878</v>
      </c>
      <c r="F182" s="1">
        <v>45202</v>
      </c>
      <c r="G182" s="1">
        <v>45209</v>
      </c>
      <c r="H182">
        <v>142</v>
      </c>
      <c r="I182">
        <v>0</v>
      </c>
      <c r="J182">
        <v>7480</v>
      </c>
      <c r="K182">
        <v>117</v>
      </c>
      <c r="L182">
        <v>7439</v>
      </c>
      <c r="M182">
        <v>0</v>
      </c>
      <c r="N182">
        <v>11</v>
      </c>
      <c r="O182">
        <v>65</v>
      </c>
      <c r="P182">
        <v>0</v>
      </c>
      <c r="Q182">
        <v>0</v>
      </c>
      <c r="R182">
        <v>560</v>
      </c>
      <c r="S182">
        <v>0</v>
      </c>
      <c r="T182">
        <v>0</v>
      </c>
      <c r="U182">
        <v>0</v>
      </c>
      <c r="V182">
        <v>1658</v>
      </c>
      <c r="W182">
        <v>269</v>
      </c>
      <c r="X182">
        <v>14585</v>
      </c>
      <c r="Y182">
        <v>0</v>
      </c>
      <c r="Z182">
        <f>239*2.59</f>
        <v>619.01</v>
      </c>
      <c r="AA182">
        <v>0</v>
      </c>
      <c r="AB182">
        <f>237*2.59</f>
        <v>613.82999999999993</v>
      </c>
      <c r="AC182">
        <v>0</v>
      </c>
      <c r="AD182">
        <v>496</v>
      </c>
      <c r="AE182">
        <v>0</v>
      </c>
      <c r="AF182">
        <v>995</v>
      </c>
      <c r="AG182">
        <v>1</v>
      </c>
      <c r="AH182">
        <v>327</v>
      </c>
      <c r="AI182">
        <v>0</v>
      </c>
      <c r="AJ182">
        <v>0</v>
      </c>
      <c r="AK182">
        <f t="shared" si="2"/>
        <v>35377.840000000004</v>
      </c>
    </row>
    <row r="183" spans="1:37" x14ac:dyDescent="0.3">
      <c r="A183">
        <v>480</v>
      </c>
      <c r="C183" t="s">
        <v>84</v>
      </c>
      <c r="D183" t="s">
        <v>7</v>
      </c>
      <c r="E183">
        <v>2300550</v>
      </c>
      <c r="F183" s="1">
        <v>45202</v>
      </c>
      <c r="G183" s="1">
        <v>45209</v>
      </c>
      <c r="H183">
        <v>0</v>
      </c>
      <c r="I183">
        <v>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f t="shared" si="2"/>
        <v>11</v>
      </c>
    </row>
    <row r="184" spans="1:37" x14ac:dyDescent="0.3">
      <c r="A184">
        <v>482</v>
      </c>
      <c r="C184" t="s">
        <v>93</v>
      </c>
      <c r="D184" t="s">
        <v>102</v>
      </c>
      <c r="E184">
        <v>2305690</v>
      </c>
      <c r="F184" s="1">
        <v>45210</v>
      </c>
      <c r="G184" s="1">
        <v>45213</v>
      </c>
      <c r="H184">
        <v>8</v>
      </c>
      <c r="I184">
        <v>0</v>
      </c>
      <c r="J184">
        <v>151</v>
      </c>
      <c r="K184">
        <v>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168</v>
      </c>
      <c r="S184">
        <v>0</v>
      </c>
      <c r="T184">
        <v>0</v>
      </c>
      <c r="U184">
        <v>0</v>
      </c>
      <c r="V184">
        <v>540</v>
      </c>
      <c r="W184">
        <v>0</v>
      </c>
      <c r="X184">
        <v>29</v>
      </c>
      <c r="Y184">
        <v>0</v>
      </c>
      <c r="Z184">
        <v>0</v>
      </c>
      <c r="AA184">
        <v>0</v>
      </c>
      <c r="AB184">
        <f>55*2.59</f>
        <v>142.44999999999999</v>
      </c>
      <c r="AC184">
        <v>0</v>
      </c>
      <c r="AD184">
        <v>1444</v>
      </c>
      <c r="AE184">
        <v>0</v>
      </c>
      <c r="AF184">
        <v>2</v>
      </c>
      <c r="AG184">
        <v>0</v>
      </c>
      <c r="AH184">
        <v>53</v>
      </c>
      <c r="AI184">
        <v>0</v>
      </c>
      <c r="AJ184">
        <v>0</v>
      </c>
      <c r="AK184">
        <f t="shared" si="2"/>
        <v>2609.4499999999998</v>
      </c>
    </row>
    <row r="185" spans="1:37" x14ac:dyDescent="0.3">
      <c r="A185">
        <v>482</v>
      </c>
      <c r="C185" t="s">
        <v>93</v>
      </c>
      <c r="D185" t="s">
        <v>7</v>
      </c>
      <c r="E185">
        <v>2300546</v>
      </c>
      <c r="F185" s="1">
        <v>45210</v>
      </c>
      <c r="G185" s="1">
        <v>45213</v>
      </c>
      <c r="H185">
        <v>0</v>
      </c>
      <c r="I185">
        <v>151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G185">
        <v>0</v>
      </c>
      <c r="AH185">
        <v>0</v>
      </c>
      <c r="AI185">
        <v>0</v>
      </c>
      <c r="AJ185">
        <v>0</v>
      </c>
      <c r="AK185">
        <f t="shared" si="2"/>
        <v>151</v>
      </c>
    </row>
    <row r="186" spans="1:37" x14ac:dyDescent="0.3">
      <c r="A186">
        <v>484</v>
      </c>
      <c r="C186" t="s">
        <v>96</v>
      </c>
      <c r="D186" t="s">
        <v>7</v>
      </c>
      <c r="E186">
        <v>2300553</v>
      </c>
      <c r="F186" s="1">
        <v>45209</v>
      </c>
      <c r="G186" s="1">
        <v>45214</v>
      </c>
      <c r="H186">
        <v>723</v>
      </c>
      <c r="I186">
        <v>44</v>
      </c>
      <c r="J186">
        <v>19694</v>
      </c>
      <c r="K186">
        <v>36</v>
      </c>
      <c r="L186">
        <v>14681</v>
      </c>
      <c r="M186">
        <v>870</v>
      </c>
      <c r="N186">
        <v>293</v>
      </c>
      <c r="O186">
        <v>388</v>
      </c>
      <c r="P186">
        <v>314</v>
      </c>
      <c r="Q186">
        <v>0</v>
      </c>
      <c r="R186">
        <v>1604</v>
      </c>
      <c r="S186">
        <v>0</v>
      </c>
      <c r="T186">
        <v>205</v>
      </c>
      <c r="U186">
        <v>5</v>
      </c>
      <c r="V186">
        <v>1733</v>
      </c>
      <c r="W186">
        <v>4</v>
      </c>
      <c r="X186">
        <v>4810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542</v>
      </c>
      <c r="AE186">
        <v>0</v>
      </c>
      <c r="AF186">
        <v>708</v>
      </c>
      <c r="AG186">
        <v>0</v>
      </c>
      <c r="AH186">
        <v>214</v>
      </c>
      <c r="AI186">
        <v>0</v>
      </c>
      <c r="AJ186">
        <v>0</v>
      </c>
      <c r="AK186">
        <f t="shared" si="2"/>
        <v>46868</v>
      </c>
    </row>
    <row r="187" spans="1:37" x14ac:dyDescent="0.3">
      <c r="A187">
        <v>486</v>
      </c>
      <c r="C187" t="s">
        <v>84</v>
      </c>
      <c r="D187" t="s">
        <v>102</v>
      </c>
      <c r="E187">
        <v>2305878</v>
      </c>
      <c r="F187" s="1">
        <v>45211</v>
      </c>
      <c r="G187" s="1">
        <v>45218</v>
      </c>
      <c r="H187">
        <v>277</v>
      </c>
      <c r="I187">
        <v>0</v>
      </c>
      <c r="J187">
        <v>12366</v>
      </c>
      <c r="K187">
        <v>30</v>
      </c>
      <c r="L187">
        <v>6950</v>
      </c>
      <c r="M187">
        <v>182</v>
      </c>
      <c r="N187">
        <v>85</v>
      </c>
      <c r="O187">
        <v>169</v>
      </c>
      <c r="P187">
        <v>16</v>
      </c>
      <c r="Q187">
        <v>0</v>
      </c>
      <c r="R187">
        <v>1564</v>
      </c>
      <c r="S187">
        <v>0</v>
      </c>
      <c r="T187">
        <v>0</v>
      </c>
      <c r="U187">
        <v>0</v>
      </c>
      <c r="V187">
        <v>879</v>
      </c>
      <c r="W187">
        <v>10</v>
      </c>
      <c r="X187">
        <v>10113</v>
      </c>
      <c r="Y187">
        <v>0</v>
      </c>
      <c r="Z187">
        <f>48*2.59</f>
        <v>124.32</v>
      </c>
      <c r="AA187">
        <v>0</v>
      </c>
      <c r="AB187">
        <f>6*2.59</f>
        <v>15.54</v>
      </c>
      <c r="AC187">
        <v>0</v>
      </c>
      <c r="AD187">
        <v>1052</v>
      </c>
      <c r="AE187">
        <v>0</v>
      </c>
      <c r="AF187">
        <v>1814</v>
      </c>
      <c r="AG187">
        <v>4</v>
      </c>
      <c r="AH187">
        <v>121</v>
      </c>
      <c r="AI187">
        <v>0</v>
      </c>
      <c r="AJ187">
        <v>0</v>
      </c>
      <c r="AK187">
        <f t="shared" si="2"/>
        <v>35771.86</v>
      </c>
    </row>
    <row r="188" spans="1:37" x14ac:dyDescent="0.3">
      <c r="A188">
        <v>486</v>
      </c>
      <c r="C188" t="s">
        <v>84</v>
      </c>
      <c r="D188" t="s">
        <v>7</v>
      </c>
      <c r="E188">
        <v>2300550</v>
      </c>
      <c r="F188" s="1">
        <v>45211</v>
      </c>
      <c r="G188" s="1">
        <v>45218</v>
      </c>
      <c r="H188">
        <v>0</v>
      </c>
      <c r="I188">
        <v>33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f t="shared" si="2"/>
        <v>33</v>
      </c>
    </row>
    <row r="189" spans="1:37" x14ac:dyDescent="0.3">
      <c r="A189">
        <v>488</v>
      </c>
      <c r="C189" t="s">
        <v>96</v>
      </c>
      <c r="D189" t="s">
        <v>7</v>
      </c>
      <c r="E189">
        <v>2300553</v>
      </c>
      <c r="F189" s="1">
        <v>45216</v>
      </c>
      <c r="G189" s="1">
        <v>45220</v>
      </c>
      <c r="H189">
        <v>572</v>
      </c>
      <c r="I189">
        <v>35</v>
      </c>
      <c r="J189">
        <v>9180</v>
      </c>
      <c r="K189">
        <v>17</v>
      </c>
      <c r="L189">
        <v>19030</v>
      </c>
      <c r="M189">
        <v>213</v>
      </c>
      <c r="N189">
        <v>333</v>
      </c>
      <c r="O189">
        <v>248</v>
      </c>
      <c r="P189">
        <v>0</v>
      </c>
      <c r="Q189">
        <v>0</v>
      </c>
      <c r="R189">
        <v>1840</v>
      </c>
      <c r="S189">
        <v>0</v>
      </c>
      <c r="T189">
        <v>29</v>
      </c>
      <c r="U189">
        <v>0</v>
      </c>
      <c r="V189">
        <v>1470</v>
      </c>
      <c r="W189">
        <v>2</v>
      </c>
      <c r="X189">
        <v>6271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360</v>
      </c>
      <c r="AE189">
        <v>0</v>
      </c>
      <c r="AF189">
        <v>757</v>
      </c>
      <c r="AG189">
        <v>0</v>
      </c>
      <c r="AH189">
        <v>192</v>
      </c>
      <c r="AI189">
        <v>0</v>
      </c>
      <c r="AJ189">
        <v>0</v>
      </c>
      <c r="AK189">
        <f t="shared" si="2"/>
        <v>40549</v>
      </c>
    </row>
    <row r="190" spans="1:37" x14ac:dyDescent="0.3">
      <c r="A190">
        <v>490</v>
      </c>
      <c r="C190" t="s">
        <v>96</v>
      </c>
      <c r="D190" t="s">
        <v>7</v>
      </c>
      <c r="E190">
        <v>2300553</v>
      </c>
      <c r="F190" s="1">
        <v>45253</v>
      </c>
      <c r="G190" s="1">
        <v>45254</v>
      </c>
      <c r="H190">
        <v>57</v>
      </c>
      <c r="I190">
        <v>0</v>
      </c>
      <c r="J190">
        <v>2177</v>
      </c>
      <c r="K190">
        <v>3</v>
      </c>
      <c r="L190">
        <v>1687</v>
      </c>
      <c r="M190">
        <v>14</v>
      </c>
      <c r="N190">
        <v>9</v>
      </c>
      <c r="O190">
        <v>30</v>
      </c>
      <c r="P190">
        <v>0</v>
      </c>
      <c r="Q190">
        <v>0</v>
      </c>
      <c r="R190">
        <v>176</v>
      </c>
      <c r="S190">
        <v>0</v>
      </c>
      <c r="T190">
        <v>0</v>
      </c>
      <c r="U190">
        <v>0</v>
      </c>
      <c r="V190">
        <v>92</v>
      </c>
      <c r="W190">
        <v>0</v>
      </c>
      <c r="X190">
        <v>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f t="shared" si="2"/>
        <v>4290</v>
      </c>
    </row>
    <row r="191" spans="1:37" x14ac:dyDescent="0.3">
      <c r="A191">
        <v>494</v>
      </c>
      <c r="C191" t="s">
        <v>84</v>
      </c>
      <c r="D191" t="s">
        <v>102</v>
      </c>
      <c r="E191" s="13">
        <v>2305878</v>
      </c>
      <c r="F191" s="1">
        <v>45247</v>
      </c>
      <c r="G191" s="1">
        <v>45253</v>
      </c>
      <c r="H191">
        <v>288</v>
      </c>
      <c r="I191">
        <v>0</v>
      </c>
      <c r="J191">
        <v>8918</v>
      </c>
      <c r="K191">
        <v>23</v>
      </c>
      <c r="L191">
        <v>8157</v>
      </c>
      <c r="M191">
        <v>28</v>
      </c>
      <c r="N191">
        <v>0</v>
      </c>
      <c r="O191">
        <v>0</v>
      </c>
      <c r="P191">
        <v>10</v>
      </c>
      <c r="Q191">
        <v>0</v>
      </c>
      <c r="R191">
        <v>276</v>
      </c>
      <c r="S191">
        <v>0</v>
      </c>
      <c r="T191">
        <v>0</v>
      </c>
      <c r="U191">
        <v>0</v>
      </c>
      <c r="V191">
        <v>455</v>
      </c>
      <c r="W191">
        <v>77</v>
      </c>
      <c r="X191">
        <v>10668</v>
      </c>
      <c r="Y191">
        <v>0</v>
      </c>
      <c r="Z191">
        <f>29*2.59</f>
        <v>75.11</v>
      </c>
      <c r="AA191">
        <v>0</v>
      </c>
      <c r="AB191">
        <f>2.59*8</f>
        <v>20.72</v>
      </c>
      <c r="AC191">
        <v>0</v>
      </c>
      <c r="AD191">
        <v>342</v>
      </c>
      <c r="AE191">
        <v>0</v>
      </c>
      <c r="AF191">
        <v>726</v>
      </c>
      <c r="AG191">
        <v>0</v>
      </c>
      <c r="AH191">
        <v>216</v>
      </c>
      <c r="AI191">
        <v>0</v>
      </c>
      <c r="AJ191">
        <v>0</v>
      </c>
      <c r="AK191">
        <f t="shared" si="2"/>
        <v>30279.83</v>
      </c>
    </row>
    <row r="192" spans="1:37" x14ac:dyDescent="0.3">
      <c r="A192">
        <v>496</v>
      </c>
      <c r="C192" t="s">
        <v>84</v>
      </c>
      <c r="D192" t="s">
        <v>102</v>
      </c>
      <c r="E192" s="13">
        <v>2305878</v>
      </c>
      <c r="F192" s="1">
        <v>45253</v>
      </c>
      <c r="G192" s="1">
        <v>45260</v>
      </c>
      <c r="H192">
        <v>206</v>
      </c>
      <c r="I192">
        <v>0</v>
      </c>
      <c r="J192">
        <v>28216</v>
      </c>
      <c r="K192">
        <v>459</v>
      </c>
      <c r="L192">
        <v>0</v>
      </c>
      <c r="M192">
        <v>465</v>
      </c>
      <c r="N192">
        <v>0</v>
      </c>
      <c r="O192">
        <v>0</v>
      </c>
      <c r="P192">
        <v>235</v>
      </c>
      <c r="Q192">
        <v>0</v>
      </c>
      <c r="R192">
        <v>20</v>
      </c>
      <c r="S192">
        <v>0</v>
      </c>
      <c r="T192">
        <v>0</v>
      </c>
      <c r="U192">
        <v>0</v>
      </c>
      <c r="V192">
        <v>217</v>
      </c>
      <c r="W192">
        <v>0</v>
      </c>
      <c r="X192">
        <v>3295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72</v>
      </c>
      <c r="AE192">
        <v>0</v>
      </c>
      <c r="AF192">
        <v>61</v>
      </c>
      <c r="AG192">
        <v>0</v>
      </c>
      <c r="AH192">
        <v>9</v>
      </c>
      <c r="AI192">
        <v>0</v>
      </c>
      <c r="AJ192">
        <v>0</v>
      </c>
      <c r="AK192">
        <f t="shared" si="2"/>
        <v>33255</v>
      </c>
    </row>
    <row r="193" spans="1:37" x14ac:dyDescent="0.3">
      <c r="A193">
        <v>498</v>
      </c>
      <c r="C193" t="s">
        <v>93</v>
      </c>
      <c r="D193" t="s">
        <v>102</v>
      </c>
      <c r="E193">
        <v>2308890</v>
      </c>
      <c r="F193" s="1">
        <v>45245</v>
      </c>
      <c r="G193" s="1">
        <v>45250</v>
      </c>
      <c r="H193">
        <v>39</v>
      </c>
      <c r="I193">
        <v>0</v>
      </c>
      <c r="J193">
        <v>505</v>
      </c>
      <c r="K193">
        <v>0</v>
      </c>
      <c r="L193">
        <v>292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96</v>
      </c>
      <c r="S193">
        <v>0</v>
      </c>
      <c r="T193">
        <v>0</v>
      </c>
      <c r="U193">
        <v>0</v>
      </c>
      <c r="V193">
        <v>559</v>
      </c>
      <c r="W193">
        <v>134</v>
      </c>
      <c r="X193">
        <v>351</v>
      </c>
      <c r="Y193">
        <v>0</v>
      </c>
      <c r="Z193">
        <v>0</v>
      </c>
      <c r="AA193">
        <v>0</v>
      </c>
      <c r="AB193">
        <f>41*2.59</f>
        <v>106.19</v>
      </c>
      <c r="AC193">
        <v>0</v>
      </c>
      <c r="AD193">
        <v>570</v>
      </c>
      <c r="AE193">
        <v>0</v>
      </c>
      <c r="AF193">
        <v>123</v>
      </c>
      <c r="AG193">
        <v>0</v>
      </c>
      <c r="AH193">
        <v>506</v>
      </c>
      <c r="AI193">
        <v>0</v>
      </c>
      <c r="AJ193">
        <v>0</v>
      </c>
      <c r="AK193">
        <f t="shared" si="2"/>
        <v>3281.19</v>
      </c>
    </row>
    <row r="194" spans="1:37" x14ac:dyDescent="0.3">
      <c r="A194">
        <v>498</v>
      </c>
      <c r="C194" t="s">
        <v>93</v>
      </c>
      <c r="D194" t="s">
        <v>102</v>
      </c>
      <c r="E194">
        <v>2300546</v>
      </c>
      <c r="F194" s="1">
        <v>45245</v>
      </c>
      <c r="G194" s="1">
        <v>45250</v>
      </c>
      <c r="H194">
        <v>0</v>
      </c>
      <c r="I194">
        <v>62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f t="shared" ref="AK194:AK204" si="3">SUM(H194:AJ194)</f>
        <v>62</v>
      </c>
    </row>
    <row r="195" spans="1:37" x14ac:dyDescent="0.3">
      <c r="A195">
        <v>500</v>
      </c>
      <c r="C195" t="s">
        <v>84</v>
      </c>
      <c r="D195" t="s">
        <v>102</v>
      </c>
      <c r="E195" s="13">
        <v>2305878</v>
      </c>
      <c r="F195" s="1">
        <v>45243</v>
      </c>
      <c r="G195" s="1">
        <v>45247</v>
      </c>
      <c r="H195">
        <v>110</v>
      </c>
      <c r="I195">
        <v>0</v>
      </c>
      <c r="J195">
        <v>3908</v>
      </c>
      <c r="K195">
        <v>6</v>
      </c>
      <c r="L195">
        <v>4541</v>
      </c>
      <c r="M195">
        <v>79</v>
      </c>
      <c r="N195">
        <v>0</v>
      </c>
      <c r="O195">
        <v>0</v>
      </c>
      <c r="P195">
        <v>5</v>
      </c>
      <c r="Q195">
        <v>0</v>
      </c>
      <c r="R195">
        <v>484</v>
      </c>
      <c r="S195">
        <v>0</v>
      </c>
      <c r="T195">
        <v>0</v>
      </c>
      <c r="U195">
        <v>0</v>
      </c>
      <c r="V195">
        <v>260</v>
      </c>
      <c r="W195">
        <v>0</v>
      </c>
      <c r="X195">
        <v>1309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42</v>
      </c>
      <c r="AE195">
        <v>0</v>
      </c>
      <c r="AF195">
        <v>38</v>
      </c>
      <c r="AG195">
        <v>0</v>
      </c>
      <c r="AH195">
        <v>6</v>
      </c>
      <c r="AI195">
        <v>0</v>
      </c>
      <c r="AJ195">
        <v>0</v>
      </c>
      <c r="AK195">
        <f t="shared" si="3"/>
        <v>10788</v>
      </c>
    </row>
    <row r="196" spans="1:37" x14ac:dyDescent="0.3">
      <c r="A196">
        <v>502</v>
      </c>
      <c r="C196" t="s">
        <v>96</v>
      </c>
      <c r="D196" t="s">
        <v>7</v>
      </c>
      <c r="E196">
        <v>2300553</v>
      </c>
      <c r="F196" s="1">
        <v>45246</v>
      </c>
      <c r="G196" s="1">
        <v>45247</v>
      </c>
      <c r="H196">
        <v>13</v>
      </c>
      <c r="I196">
        <v>0</v>
      </c>
      <c r="J196">
        <v>44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f t="shared" si="3"/>
        <v>63</v>
      </c>
    </row>
    <row r="197" spans="1:37" x14ac:dyDescent="0.3">
      <c r="A197">
        <v>504</v>
      </c>
      <c r="C197" t="s">
        <v>96</v>
      </c>
      <c r="D197" t="s">
        <v>7</v>
      </c>
      <c r="E197">
        <v>2300553</v>
      </c>
      <c r="F197" s="1">
        <v>45237</v>
      </c>
      <c r="G197" s="1">
        <v>45244</v>
      </c>
      <c r="H197">
        <v>1253</v>
      </c>
      <c r="I197">
        <v>23</v>
      </c>
      <c r="J197">
        <v>8807</v>
      </c>
      <c r="K197">
        <v>87</v>
      </c>
      <c r="L197">
        <v>19165</v>
      </c>
      <c r="M197">
        <v>478</v>
      </c>
      <c r="N197">
        <v>254</v>
      </c>
      <c r="O197">
        <v>255</v>
      </c>
      <c r="P197">
        <v>440</v>
      </c>
      <c r="Q197">
        <v>0</v>
      </c>
      <c r="R197">
        <v>2036</v>
      </c>
      <c r="S197">
        <v>0</v>
      </c>
      <c r="T197">
        <v>191</v>
      </c>
      <c r="U197">
        <v>0</v>
      </c>
      <c r="V197">
        <v>434</v>
      </c>
      <c r="W197">
        <v>0</v>
      </c>
      <c r="X197">
        <v>4716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198</v>
      </c>
      <c r="AE197">
        <v>0</v>
      </c>
      <c r="AF197">
        <v>68</v>
      </c>
      <c r="AG197">
        <v>0</v>
      </c>
      <c r="AH197">
        <v>86</v>
      </c>
      <c r="AI197">
        <v>0</v>
      </c>
      <c r="AJ197">
        <v>0</v>
      </c>
      <c r="AK197">
        <f t="shared" si="3"/>
        <v>38491</v>
      </c>
    </row>
    <row r="198" spans="1:37" x14ac:dyDescent="0.3">
      <c r="A198">
        <v>506</v>
      </c>
      <c r="C198" t="s">
        <v>93</v>
      </c>
      <c r="D198" t="s">
        <v>102</v>
      </c>
      <c r="E198" s="13">
        <v>2305890</v>
      </c>
      <c r="F198" s="1">
        <v>45220</v>
      </c>
      <c r="G198" s="1">
        <v>45226</v>
      </c>
      <c r="H198">
        <v>91</v>
      </c>
      <c r="I198">
        <v>0</v>
      </c>
      <c r="J198">
        <v>283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260</v>
      </c>
      <c r="S198">
        <v>0</v>
      </c>
      <c r="T198">
        <v>0</v>
      </c>
      <c r="U198">
        <v>0</v>
      </c>
      <c r="V198">
        <v>920</v>
      </c>
      <c r="W198">
        <v>159</v>
      </c>
      <c r="X198">
        <v>535</v>
      </c>
      <c r="Y198">
        <v>0</v>
      </c>
      <c r="Z198">
        <v>0</v>
      </c>
      <c r="AA198">
        <v>0</v>
      </c>
      <c r="AB198">
        <f>2.59*262</f>
        <v>678.57999999999993</v>
      </c>
      <c r="AC198">
        <v>0</v>
      </c>
      <c r="AD198">
        <v>1292</v>
      </c>
      <c r="AE198">
        <v>0</v>
      </c>
      <c r="AF198">
        <v>115</v>
      </c>
      <c r="AG198">
        <v>0</v>
      </c>
      <c r="AH198">
        <v>327</v>
      </c>
      <c r="AI198">
        <v>0</v>
      </c>
      <c r="AJ198">
        <v>0</v>
      </c>
      <c r="AK198">
        <f t="shared" si="3"/>
        <v>4664.58</v>
      </c>
    </row>
    <row r="199" spans="1:37" x14ac:dyDescent="0.3">
      <c r="A199">
        <v>506</v>
      </c>
      <c r="C199" t="s">
        <v>93</v>
      </c>
      <c r="D199" t="s">
        <v>7</v>
      </c>
      <c r="E199">
        <v>2300546</v>
      </c>
      <c r="F199" s="1">
        <v>45220</v>
      </c>
      <c r="G199" s="1">
        <v>45226</v>
      </c>
      <c r="H199">
        <v>0</v>
      </c>
      <c r="I199">
        <v>202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f t="shared" si="3"/>
        <v>202</v>
      </c>
    </row>
    <row r="200" spans="1:37" x14ac:dyDescent="0.3">
      <c r="A200">
        <v>508</v>
      </c>
      <c r="C200" t="s">
        <v>96</v>
      </c>
      <c r="D200" t="s">
        <v>7</v>
      </c>
      <c r="E200">
        <v>2300553</v>
      </c>
      <c r="F200" s="1">
        <v>45220</v>
      </c>
      <c r="G200" s="1">
        <v>45226</v>
      </c>
      <c r="H200">
        <v>937</v>
      </c>
      <c r="I200">
        <v>35</v>
      </c>
      <c r="J200">
        <v>11045</v>
      </c>
      <c r="K200">
        <v>5</v>
      </c>
      <c r="L200">
        <v>9194</v>
      </c>
      <c r="M200">
        <v>138</v>
      </c>
      <c r="N200">
        <v>1238</v>
      </c>
      <c r="O200">
        <v>1465</v>
      </c>
      <c r="P200">
        <v>0</v>
      </c>
      <c r="Q200">
        <v>0</v>
      </c>
      <c r="R200">
        <v>2068</v>
      </c>
      <c r="S200">
        <v>0</v>
      </c>
      <c r="T200">
        <v>10</v>
      </c>
      <c r="U200">
        <v>6</v>
      </c>
      <c r="V200">
        <v>462</v>
      </c>
      <c r="W200">
        <v>6</v>
      </c>
      <c r="X200">
        <v>10088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1504</v>
      </c>
      <c r="AE200">
        <v>0</v>
      </c>
      <c r="AF200">
        <v>1838</v>
      </c>
      <c r="AG200">
        <v>0</v>
      </c>
      <c r="AH200">
        <v>139</v>
      </c>
      <c r="AI200">
        <v>0</v>
      </c>
      <c r="AJ200">
        <v>0</v>
      </c>
      <c r="AK200">
        <f t="shared" si="3"/>
        <v>40178</v>
      </c>
    </row>
    <row r="201" spans="1:37" x14ac:dyDescent="0.3">
      <c r="A201">
        <v>510</v>
      </c>
      <c r="C201" t="s">
        <v>84</v>
      </c>
      <c r="D201" t="s">
        <v>102</v>
      </c>
      <c r="E201">
        <v>2305878</v>
      </c>
      <c r="F201" s="1">
        <v>45218</v>
      </c>
      <c r="G201" s="1">
        <v>45225</v>
      </c>
      <c r="H201">
        <v>360</v>
      </c>
      <c r="I201">
        <v>0</v>
      </c>
      <c r="J201">
        <v>7704</v>
      </c>
      <c r="K201">
        <v>18</v>
      </c>
      <c r="L201">
        <v>6885</v>
      </c>
      <c r="M201">
        <v>28</v>
      </c>
      <c r="N201">
        <v>14</v>
      </c>
      <c r="O201">
        <v>24</v>
      </c>
      <c r="P201">
        <v>0</v>
      </c>
      <c r="Q201">
        <v>0</v>
      </c>
      <c r="R201">
        <v>556</v>
      </c>
      <c r="S201">
        <v>0</v>
      </c>
      <c r="T201">
        <v>0</v>
      </c>
      <c r="U201">
        <v>0</v>
      </c>
      <c r="V201">
        <v>570</v>
      </c>
      <c r="W201">
        <v>17</v>
      </c>
      <c r="X201">
        <v>8514</v>
      </c>
      <c r="Y201">
        <v>0</v>
      </c>
      <c r="Z201">
        <f>16*2.59</f>
        <v>41.44</v>
      </c>
      <c r="AA201">
        <v>0</v>
      </c>
      <c r="AB201">
        <f>32*1.59</f>
        <v>50.88</v>
      </c>
      <c r="AC201">
        <v>0</v>
      </c>
      <c r="AD201">
        <v>206</v>
      </c>
      <c r="AE201">
        <v>0</v>
      </c>
      <c r="AF201">
        <v>343</v>
      </c>
      <c r="AG201">
        <v>0</v>
      </c>
      <c r="AH201">
        <v>25</v>
      </c>
      <c r="AI201">
        <v>0</v>
      </c>
      <c r="AJ201">
        <v>0</v>
      </c>
      <c r="AK201">
        <f t="shared" si="3"/>
        <v>25356.32</v>
      </c>
    </row>
    <row r="202" spans="1:37" x14ac:dyDescent="0.3">
      <c r="A202">
        <v>510</v>
      </c>
      <c r="C202" t="s">
        <v>84</v>
      </c>
      <c r="D202" t="s">
        <v>7</v>
      </c>
      <c r="E202">
        <v>2300550</v>
      </c>
      <c r="F202" s="1">
        <v>45218</v>
      </c>
      <c r="G202" s="1">
        <v>45225</v>
      </c>
      <c r="H202">
        <v>0</v>
      </c>
      <c r="I202">
        <v>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f t="shared" si="3"/>
        <v>33</v>
      </c>
    </row>
    <row r="203" spans="1:37" x14ac:dyDescent="0.3">
      <c r="A203">
        <v>512</v>
      </c>
      <c r="C203" t="s">
        <v>93</v>
      </c>
      <c r="D203" t="s">
        <v>102</v>
      </c>
      <c r="E203">
        <v>2306890</v>
      </c>
      <c r="F203" s="1">
        <v>45233</v>
      </c>
      <c r="G203" s="1">
        <v>45237</v>
      </c>
      <c r="H203">
        <v>20</v>
      </c>
      <c r="I203">
        <v>0</v>
      </c>
      <c r="J203">
        <v>147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68</v>
      </c>
      <c r="S203">
        <v>0</v>
      </c>
      <c r="T203">
        <v>0</v>
      </c>
      <c r="U203">
        <v>0</v>
      </c>
      <c r="V203">
        <v>339</v>
      </c>
      <c r="W203">
        <v>43</v>
      </c>
      <c r="X203">
        <v>339</v>
      </c>
      <c r="Y203">
        <v>0</v>
      </c>
      <c r="Z203">
        <v>0</v>
      </c>
      <c r="AA203">
        <v>0</v>
      </c>
      <c r="AB203">
        <f>5*2.59</f>
        <v>12.95</v>
      </c>
      <c r="AC203">
        <v>0</v>
      </c>
      <c r="AD203">
        <v>270</v>
      </c>
      <c r="AE203">
        <v>0</v>
      </c>
      <c r="AF203">
        <v>37</v>
      </c>
      <c r="AG203">
        <v>0</v>
      </c>
      <c r="AH203">
        <v>55</v>
      </c>
      <c r="AI203">
        <v>0</v>
      </c>
      <c r="AJ203">
        <v>0</v>
      </c>
      <c r="AK203">
        <f t="shared" si="3"/>
        <v>1330.95</v>
      </c>
    </row>
    <row r="204" spans="1:37" x14ac:dyDescent="0.3">
      <c r="A204">
        <v>512</v>
      </c>
      <c r="C204" t="s">
        <v>93</v>
      </c>
      <c r="D204" t="s">
        <v>7</v>
      </c>
      <c r="E204">
        <v>2300546</v>
      </c>
      <c r="F204" s="1">
        <v>45233</v>
      </c>
      <c r="G204" s="1">
        <v>45237</v>
      </c>
      <c r="H204">
        <v>0</v>
      </c>
      <c r="I204">
        <v>53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f t="shared" si="3"/>
        <v>53</v>
      </c>
    </row>
    <row r="205" spans="1:37" x14ac:dyDescent="0.3">
      <c r="A205">
        <v>514</v>
      </c>
      <c r="C205" t="s">
        <v>96</v>
      </c>
      <c r="D205" t="s">
        <v>7</v>
      </c>
      <c r="E205">
        <v>2300553</v>
      </c>
      <c r="F205" s="1">
        <v>45228</v>
      </c>
      <c r="G205" s="1">
        <v>45236</v>
      </c>
      <c r="H205">
        <v>539</v>
      </c>
      <c r="I205">
        <v>69</v>
      </c>
      <c r="J205">
        <v>7684</v>
      </c>
      <c r="K205">
        <v>88</v>
      </c>
      <c r="L205">
        <v>22793</v>
      </c>
      <c r="M205">
        <v>103</v>
      </c>
      <c r="N205">
        <v>104</v>
      </c>
      <c r="O205">
        <v>0</v>
      </c>
      <c r="P205">
        <v>618</v>
      </c>
      <c r="Q205">
        <v>0</v>
      </c>
      <c r="R205">
        <v>416</v>
      </c>
      <c r="S205">
        <v>0</v>
      </c>
      <c r="T205">
        <v>247</v>
      </c>
      <c r="U205">
        <v>0</v>
      </c>
      <c r="V205">
        <v>759</v>
      </c>
      <c r="W205">
        <v>241</v>
      </c>
      <c r="X205">
        <v>8090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786</v>
      </c>
      <c r="AE205">
        <v>0</v>
      </c>
      <c r="AF205">
        <v>233</v>
      </c>
      <c r="AG205">
        <v>0</v>
      </c>
      <c r="AH205">
        <v>17</v>
      </c>
      <c r="AI205">
        <v>0</v>
      </c>
      <c r="AJ205">
        <v>0</v>
      </c>
      <c r="AK205">
        <f t="shared" ref="AK205:AK268" si="4">SUM(H205:AJ205)</f>
        <v>42787</v>
      </c>
    </row>
    <row r="206" spans="1:37" x14ac:dyDescent="0.3">
      <c r="A206">
        <v>516</v>
      </c>
      <c r="C206" t="s">
        <v>84</v>
      </c>
      <c r="D206" t="s">
        <v>102</v>
      </c>
      <c r="E206" s="13">
        <v>2305878</v>
      </c>
      <c r="F206" s="1">
        <v>45235</v>
      </c>
      <c r="G206" s="1">
        <v>45242</v>
      </c>
      <c r="H206">
        <v>266</v>
      </c>
      <c r="I206">
        <v>0</v>
      </c>
      <c r="J206">
        <v>16313</v>
      </c>
      <c r="K206">
        <v>116</v>
      </c>
      <c r="L206">
        <v>4971</v>
      </c>
      <c r="M206">
        <v>134</v>
      </c>
      <c r="N206">
        <v>16</v>
      </c>
      <c r="O206">
        <v>0</v>
      </c>
      <c r="P206">
        <v>632</v>
      </c>
      <c r="Q206">
        <v>0</v>
      </c>
      <c r="R206">
        <v>160</v>
      </c>
      <c r="S206">
        <v>0</v>
      </c>
      <c r="T206">
        <v>0</v>
      </c>
      <c r="U206">
        <v>0</v>
      </c>
      <c r="V206">
        <v>631</v>
      </c>
      <c r="W206">
        <v>21</v>
      </c>
      <c r="X206">
        <v>11938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292</v>
      </c>
      <c r="AE206">
        <v>0</v>
      </c>
      <c r="AF206">
        <v>958</v>
      </c>
      <c r="AG206">
        <v>0</v>
      </c>
      <c r="AH206">
        <v>75</v>
      </c>
      <c r="AI206">
        <v>0</v>
      </c>
      <c r="AJ206">
        <v>0</v>
      </c>
      <c r="AK206">
        <f t="shared" si="4"/>
        <v>36523</v>
      </c>
    </row>
    <row r="207" spans="1:37" x14ac:dyDescent="0.3">
      <c r="A207">
        <v>518</v>
      </c>
      <c r="C207" t="s">
        <v>93</v>
      </c>
      <c r="D207" t="s">
        <v>102</v>
      </c>
      <c r="E207" s="13">
        <v>2305890</v>
      </c>
      <c r="F207" s="1">
        <v>45238</v>
      </c>
      <c r="G207" s="1">
        <v>45243</v>
      </c>
      <c r="H207">
        <v>0</v>
      </c>
      <c r="I207">
        <v>0</v>
      </c>
      <c r="J207">
        <v>172</v>
      </c>
      <c r="K207">
        <v>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203</v>
      </c>
      <c r="S207">
        <v>0</v>
      </c>
      <c r="T207">
        <v>0</v>
      </c>
      <c r="U207">
        <v>0</v>
      </c>
      <c r="V207">
        <v>805</v>
      </c>
      <c r="W207">
        <v>115</v>
      </c>
      <c r="X207">
        <v>256</v>
      </c>
      <c r="Y207">
        <v>256</v>
      </c>
      <c r="Z207">
        <v>0</v>
      </c>
      <c r="AA207">
        <v>0</v>
      </c>
      <c r="AB207">
        <f>102*2.59</f>
        <v>264.18</v>
      </c>
      <c r="AC207">
        <v>0</v>
      </c>
      <c r="AD207">
        <v>2192</v>
      </c>
      <c r="AE207">
        <v>0</v>
      </c>
      <c r="AF207">
        <v>19</v>
      </c>
      <c r="AG207">
        <v>0</v>
      </c>
      <c r="AH207">
        <v>210</v>
      </c>
      <c r="AI207">
        <v>0</v>
      </c>
      <c r="AJ207">
        <v>0</v>
      </c>
      <c r="AK207">
        <f t="shared" si="4"/>
        <v>4495.18</v>
      </c>
    </row>
    <row r="208" spans="1:37" x14ac:dyDescent="0.3">
      <c r="A208">
        <v>518</v>
      </c>
      <c r="C208" t="s">
        <v>93</v>
      </c>
      <c r="D208" t="s">
        <v>7</v>
      </c>
      <c r="E208">
        <v>2300546</v>
      </c>
      <c r="F208" s="1">
        <v>45238</v>
      </c>
      <c r="G208" s="1">
        <v>45243</v>
      </c>
      <c r="H208">
        <v>0</v>
      </c>
      <c r="I208">
        <v>389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f t="shared" si="4"/>
        <v>389</v>
      </c>
    </row>
    <row r="209" spans="1:37" x14ac:dyDescent="0.3">
      <c r="A209">
        <v>519</v>
      </c>
      <c r="C209" t="s">
        <v>103</v>
      </c>
      <c r="D209" t="s">
        <v>104</v>
      </c>
      <c r="E209">
        <v>2300333</v>
      </c>
      <c r="F209" s="1">
        <v>44975</v>
      </c>
      <c r="G209" s="1">
        <v>44984</v>
      </c>
      <c r="H209">
        <v>3</v>
      </c>
      <c r="I209">
        <v>0</v>
      </c>
      <c r="J209">
        <v>2689</v>
      </c>
      <c r="K209">
        <v>392</v>
      </c>
      <c r="L209">
        <v>0</v>
      </c>
      <c r="M209">
        <v>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f t="shared" si="4"/>
        <v>3100</v>
      </c>
    </row>
    <row r="210" spans="1:37" x14ac:dyDescent="0.3">
      <c r="A210">
        <v>519</v>
      </c>
      <c r="C210" t="s">
        <v>103</v>
      </c>
      <c r="D210" t="s">
        <v>105</v>
      </c>
      <c r="E210">
        <v>2300338</v>
      </c>
      <c r="F210" s="1">
        <v>44975</v>
      </c>
      <c r="G210" s="1">
        <v>44984</v>
      </c>
      <c r="H210">
        <v>3</v>
      </c>
      <c r="I210">
        <v>0</v>
      </c>
      <c r="J210">
        <v>2689</v>
      </c>
      <c r="K210">
        <v>392</v>
      </c>
      <c r="L210">
        <v>0</v>
      </c>
      <c r="M210">
        <v>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K210">
        <f t="shared" si="4"/>
        <v>3100</v>
      </c>
    </row>
    <row r="211" spans="1:37" x14ac:dyDescent="0.3">
      <c r="A211">
        <v>521</v>
      </c>
      <c r="C211" t="s">
        <v>103</v>
      </c>
      <c r="D211" t="s">
        <v>106</v>
      </c>
      <c r="E211">
        <v>2300334</v>
      </c>
      <c r="F211" s="1">
        <v>44975</v>
      </c>
      <c r="G211" s="1">
        <v>44984</v>
      </c>
      <c r="H211">
        <v>8</v>
      </c>
      <c r="I211">
        <v>0</v>
      </c>
      <c r="J211">
        <v>7299</v>
      </c>
      <c r="K211">
        <v>1063</v>
      </c>
      <c r="L211">
        <v>0</v>
      </c>
      <c r="M211">
        <v>42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f t="shared" si="4"/>
        <v>8415</v>
      </c>
    </row>
    <row r="212" spans="1:37" x14ac:dyDescent="0.3">
      <c r="A212">
        <v>521</v>
      </c>
      <c r="C212" t="s">
        <v>103</v>
      </c>
      <c r="D212" t="s">
        <v>107</v>
      </c>
      <c r="E212">
        <v>2300330</v>
      </c>
      <c r="F212" s="1">
        <v>44975</v>
      </c>
      <c r="G212" s="1">
        <v>44984</v>
      </c>
      <c r="H212">
        <v>3</v>
      </c>
      <c r="I212">
        <v>0</v>
      </c>
      <c r="J212">
        <v>2619</v>
      </c>
      <c r="K212">
        <v>382</v>
      </c>
      <c r="L212">
        <v>0</v>
      </c>
      <c r="M212">
        <v>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f t="shared" si="4"/>
        <v>3020</v>
      </c>
    </row>
    <row r="213" spans="1:37" x14ac:dyDescent="0.3">
      <c r="A213">
        <v>521</v>
      </c>
      <c r="C213" t="s">
        <v>103</v>
      </c>
      <c r="D213" t="s">
        <v>108</v>
      </c>
      <c r="E213">
        <v>2300348</v>
      </c>
      <c r="F213" s="1">
        <v>44975</v>
      </c>
      <c r="G213" s="1">
        <v>44984</v>
      </c>
      <c r="H213">
        <v>8</v>
      </c>
      <c r="I213">
        <v>0</v>
      </c>
      <c r="J213">
        <v>7773</v>
      </c>
      <c r="K213">
        <v>1132</v>
      </c>
      <c r="L213">
        <v>0</v>
      </c>
      <c r="M213">
        <v>45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f t="shared" si="4"/>
        <v>8962</v>
      </c>
    </row>
    <row r="214" spans="1:37" x14ac:dyDescent="0.3">
      <c r="A214">
        <v>521</v>
      </c>
      <c r="C214" t="s">
        <v>103</v>
      </c>
      <c r="D214" t="s">
        <v>40</v>
      </c>
      <c r="E214">
        <v>2301819</v>
      </c>
      <c r="F214" s="1">
        <v>44975</v>
      </c>
      <c r="G214" s="1">
        <v>44984</v>
      </c>
      <c r="H214">
        <v>10</v>
      </c>
      <c r="I214">
        <v>0</v>
      </c>
      <c r="J214">
        <v>9442</v>
      </c>
      <c r="K214">
        <v>1375</v>
      </c>
      <c r="L214">
        <v>0</v>
      </c>
      <c r="M214">
        <v>54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f t="shared" si="4"/>
        <v>10885</v>
      </c>
    </row>
    <row r="215" spans="1:37" x14ac:dyDescent="0.3">
      <c r="A215">
        <v>521</v>
      </c>
      <c r="C215" t="s">
        <v>103</v>
      </c>
      <c r="D215" t="s">
        <v>109</v>
      </c>
      <c r="E215">
        <v>2300351</v>
      </c>
      <c r="F215" s="1">
        <v>44975</v>
      </c>
      <c r="G215" s="1">
        <v>44984</v>
      </c>
      <c r="H215">
        <v>8</v>
      </c>
      <c r="I215">
        <v>0</v>
      </c>
      <c r="J215">
        <v>7773</v>
      </c>
      <c r="K215">
        <v>1132</v>
      </c>
      <c r="L215">
        <v>0</v>
      </c>
      <c r="M215">
        <v>45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f t="shared" si="4"/>
        <v>8962</v>
      </c>
    </row>
    <row r="216" spans="1:37" x14ac:dyDescent="0.3">
      <c r="A216">
        <v>521</v>
      </c>
      <c r="C216" t="s">
        <v>103</v>
      </c>
      <c r="D216" t="s">
        <v>110</v>
      </c>
      <c r="E216">
        <v>2300336</v>
      </c>
      <c r="F216" s="1">
        <v>44975</v>
      </c>
      <c r="G216" s="1">
        <v>44984</v>
      </c>
      <c r="H216">
        <v>3</v>
      </c>
      <c r="I216">
        <v>0</v>
      </c>
      <c r="J216">
        <v>2689</v>
      </c>
      <c r="K216">
        <v>392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f t="shared" si="4"/>
        <v>3100</v>
      </c>
    </row>
    <row r="217" spans="1:37" x14ac:dyDescent="0.3">
      <c r="A217">
        <v>521</v>
      </c>
      <c r="C217" t="s">
        <v>103</v>
      </c>
      <c r="D217" t="s">
        <v>111</v>
      </c>
      <c r="E217">
        <v>2300335</v>
      </c>
      <c r="F217" s="1">
        <v>44975</v>
      </c>
      <c r="G217" s="1">
        <v>44984</v>
      </c>
      <c r="H217">
        <v>3</v>
      </c>
      <c r="I217">
        <v>0</v>
      </c>
      <c r="J217">
        <v>2689</v>
      </c>
      <c r="K217">
        <v>392</v>
      </c>
      <c r="L217">
        <v>0</v>
      </c>
      <c r="M217">
        <v>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f t="shared" si="4"/>
        <v>3100</v>
      </c>
    </row>
    <row r="218" spans="1:37" x14ac:dyDescent="0.3">
      <c r="A218">
        <v>524</v>
      </c>
      <c r="C218" t="s">
        <v>103</v>
      </c>
      <c r="D218" t="s">
        <v>40</v>
      </c>
      <c r="E218">
        <v>2301819</v>
      </c>
      <c r="F218" s="1">
        <v>44967</v>
      </c>
      <c r="G218" s="1">
        <v>44974</v>
      </c>
      <c r="H218">
        <v>0</v>
      </c>
      <c r="I218">
        <v>0</v>
      </c>
      <c r="J218">
        <v>43362</v>
      </c>
      <c r="K218">
        <v>7541</v>
      </c>
      <c r="L218">
        <v>9</v>
      </c>
      <c r="M218">
        <v>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f t="shared" si="4"/>
        <v>51273</v>
      </c>
    </row>
    <row r="219" spans="1:37" x14ac:dyDescent="0.3">
      <c r="A219">
        <v>524</v>
      </c>
      <c r="C219" t="s">
        <v>103</v>
      </c>
      <c r="D219" t="s">
        <v>106</v>
      </c>
      <c r="E219">
        <v>2300334</v>
      </c>
      <c r="F219" s="1">
        <v>44967</v>
      </c>
      <c r="G219" s="1">
        <v>44974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f t="shared" si="4"/>
        <v>0</v>
      </c>
    </row>
    <row r="220" spans="1:37" x14ac:dyDescent="0.3">
      <c r="A220">
        <v>524</v>
      </c>
      <c r="C220" t="s">
        <v>103</v>
      </c>
      <c r="D220" t="s">
        <v>107</v>
      </c>
      <c r="E220">
        <v>2300330</v>
      </c>
      <c r="F220" s="1">
        <v>44967</v>
      </c>
      <c r="G220" s="1">
        <v>44974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f t="shared" si="4"/>
        <v>0</v>
      </c>
    </row>
    <row r="221" spans="1:37" x14ac:dyDescent="0.3">
      <c r="A221">
        <v>524</v>
      </c>
      <c r="C221" t="s">
        <v>103</v>
      </c>
      <c r="D221" t="s">
        <v>108</v>
      </c>
      <c r="E221">
        <v>2300348</v>
      </c>
      <c r="F221" s="1">
        <v>44967</v>
      </c>
      <c r="G221" s="1">
        <v>44974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f t="shared" si="4"/>
        <v>0</v>
      </c>
    </row>
    <row r="222" spans="1:37" x14ac:dyDescent="0.3">
      <c r="A222">
        <v>524</v>
      </c>
      <c r="C222" t="s">
        <v>103</v>
      </c>
      <c r="D222" t="s">
        <v>109</v>
      </c>
      <c r="E222">
        <v>2300351</v>
      </c>
      <c r="F222" s="1">
        <v>44967</v>
      </c>
      <c r="G222" s="1">
        <v>44974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f t="shared" si="4"/>
        <v>0</v>
      </c>
    </row>
    <row r="223" spans="1:37" x14ac:dyDescent="0.3">
      <c r="A223">
        <v>524</v>
      </c>
      <c r="C223" t="s">
        <v>103</v>
      </c>
      <c r="D223" t="s">
        <v>110</v>
      </c>
      <c r="E223">
        <v>2300336</v>
      </c>
      <c r="F223" s="1">
        <v>44967</v>
      </c>
      <c r="G223" s="1">
        <v>44974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f t="shared" si="4"/>
        <v>0</v>
      </c>
    </row>
    <row r="224" spans="1:37" x14ac:dyDescent="0.3">
      <c r="A224">
        <v>524</v>
      </c>
      <c r="C224" t="s">
        <v>103</v>
      </c>
      <c r="D224" t="s">
        <v>111</v>
      </c>
      <c r="E224">
        <v>2300335</v>
      </c>
      <c r="F224" s="1">
        <v>44967</v>
      </c>
      <c r="G224" s="1">
        <v>44974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f t="shared" si="4"/>
        <v>0</v>
      </c>
    </row>
    <row r="225" spans="1:37" x14ac:dyDescent="0.3">
      <c r="A225">
        <v>527</v>
      </c>
      <c r="C225" t="s">
        <v>103</v>
      </c>
      <c r="D225" t="s">
        <v>104</v>
      </c>
      <c r="E225">
        <v>2300333</v>
      </c>
      <c r="F225" s="1">
        <v>44999</v>
      </c>
      <c r="G225" s="1">
        <v>45007</v>
      </c>
      <c r="H225">
        <v>0</v>
      </c>
      <c r="I225">
        <v>0</v>
      </c>
      <c r="J225">
        <v>1806</v>
      </c>
      <c r="K225">
        <v>205</v>
      </c>
      <c r="L225">
        <v>410</v>
      </c>
      <c r="M225">
        <v>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13</v>
      </c>
      <c r="W225">
        <v>0</v>
      </c>
      <c r="X225">
        <v>459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11</v>
      </c>
      <c r="AE225">
        <v>0</v>
      </c>
      <c r="AF225">
        <v>9</v>
      </c>
      <c r="AG225">
        <v>0</v>
      </c>
      <c r="AH225">
        <v>1</v>
      </c>
      <c r="AI225">
        <v>0</v>
      </c>
      <c r="AJ225">
        <v>0</v>
      </c>
      <c r="AK225">
        <f t="shared" si="4"/>
        <v>2929</v>
      </c>
    </row>
    <row r="226" spans="1:37" x14ac:dyDescent="0.3">
      <c r="A226">
        <v>527</v>
      </c>
      <c r="C226" t="s">
        <v>103</v>
      </c>
      <c r="D226" t="s">
        <v>105</v>
      </c>
      <c r="E226">
        <v>2300338</v>
      </c>
      <c r="F226" s="1">
        <v>44999</v>
      </c>
      <c r="G226" s="1">
        <v>45007</v>
      </c>
      <c r="H226">
        <v>0</v>
      </c>
      <c r="I226">
        <v>0</v>
      </c>
      <c r="J226">
        <v>1806</v>
      </c>
      <c r="K226">
        <v>205</v>
      </c>
      <c r="L226">
        <v>410</v>
      </c>
      <c r="M226">
        <v>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13</v>
      </c>
      <c r="W226">
        <v>0</v>
      </c>
      <c r="X226">
        <v>459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11</v>
      </c>
      <c r="AE226">
        <v>0</v>
      </c>
      <c r="AF226">
        <v>9</v>
      </c>
      <c r="AG226">
        <v>0</v>
      </c>
      <c r="AH226">
        <v>1</v>
      </c>
      <c r="AI226">
        <v>0</v>
      </c>
      <c r="AJ226">
        <v>0</v>
      </c>
      <c r="AK226">
        <f t="shared" si="4"/>
        <v>2929</v>
      </c>
    </row>
    <row r="227" spans="1:37" x14ac:dyDescent="0.3">
      <c r="A227">
        <v>529</v>
      </c>
      <c r="C227" t="s">
        <v>103</v>
      </c>
      <c r="D227" t="s">
        <v>106</v>
      </c>
      <c r="E227">
        <v>2300334</v>
      </c>
      <c r="F227" s="1">
        <v>44999</v>
      </c>
      <c r="G227" s="1">
        <v>45007</v>
      </c>
      <c r="H227">
        <v>0</v>
      </c>
      <c r="I227">
        <v>0</v>
      </c>
      <c r="J227">
        <v>4901</v>
      </c>
      <c r="K227">
        <v>556</v>
      </c>
      <c r="L227">
        <v>1114</v>
      </c>
      <c r="M227">
        <v>41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34</v>
      </c>
      <c r="W227">
        <v>0</v>
      </c>
      <c r="X227">
        <v>1246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30</v>
      </c>
      <c r="AE227">
        <v>0</v>
      </c>
      <c r="AF227">
        <v>24</v>
      </c>
      <c r="AG227">
        <v>0</v>
      </c>
      <c r="AH227">
        <v>2</v>
      </c>
      <c r="AI227">
        <v>0</v>
      </c>
      <c r="AJ227">
        <v>0</v>
      </c>
      <c r="AK227">
        <f t="shared" si="4"/>
        <v>7948</v>
      </c>
    </row>
    <row r="228" spans="1:37" x14ac:dyDescent="0.3">
      <c r="A228">
        <v>529</v>
      </c>
      <c r="C228" t="s">
        <v>103</v>
      </c>
      <c r="D228" t="s">
        <v>107</v>
      </c>
      <c r="E228">
        <v>2300330</v>
      </c>
      <c r="F228" s="1">
        <v>44999</v>
      </c>
      <c r="G228" s="1">
        <v>45007</v>
      </c>
      <c r="H228">
        <v>0</v>
      </c>
      <c r="I228">
        <v>0</v>
      </c>
      <c r="J228">
        <v>1759</v>
      </c>
      <c r="K228">
        <v>200</v>
      </c>
      <c r="L228">
        <v>400</v>
      </c>
      <c r="M228">
        <v>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12</v>
      </c>
      <c r="W228">
        <v>0</v>
      </c>
      <c r="X228">
        <v>447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11</v>
      </c>
      <c r="AE228">
        <v>0</v>
      </c>
      <c r="AF228">
        <v>8</v>
      </c>
      <c r="AG228">
        <v>0</v>
      </c>
      <c r="AH228">
        <v>1</v>
      </c>
      <c r="AI228">
        <v>0</v>
      </c>
      <c r="AJ228">
        <v>0</v>
      </c>
      <c r="AK228">
        <f t="shared" si="4"/>
        <v>2853</v>
      </c>
    </row>
    <row r="229" spans="1:37" x14ac:dyDescent="0.3">
      <c r="A229">
        <v>529</v>
      </c>
      <c r="C229" t="s">
        <v>103</v>
      </c>
      <c r="D229" t="s">
        <v>108</v>
      </c>
      <c r="E229">
        <v>2300348</v>
      </c>
      <c r="F229" s="1">
        <v>44999</v>
      </c>
      <c r="G229" s="1">
        <v>45007</v>
      </c>
      <c r="H229">
        <v>0</v>
      </c>
      <c r="I229">
        <v>0</v>
      </c>
      <c r="J229">
        <v>5220</v>
      </c>
      <c r="K229">
        <v>592</v>
      </c>
      <c r="L229">
        <v>1186</v>
      </c>
      <c r="M229">
        <v>43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37</v>
      </c>
      <c r="W229">
        <v>0</v>
      </c>
      <c r="X229">
        <v>1327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32</v>
      </c>
      <c r="AE229">
        <v>0</v>
      </c>
      <c r="AF229">
        <v>25</v>
      </c>
      <c r="AG229">
        <v>0</v>
      </c>
      <c r="AH229">
        <v>2</v>
      </c>
      <c r="AI229">
        <v>0</v>
      </c>
      <c r="AJ229">
        <v>0</v>
      </c>
      <c r="AK229">
        <f t="shared" si="4"/>
        <v>8464</v>
      </c>
    </row>
    <row r="230" spans="1:37" x14ac:dyDescent="0.3">
      <c r="A230">
        <v>529</v>
      </c>
      <c r="C230" t="s">
        <v>103</v>
      </c>
      <c r="D230" t="s">
        <v>40</v>
      </c>
      <c r="E230">
        <v>2301819</v>
      </c>
      <c r="F230" s="1">
        <v>44999</v>
      </c>
      <c r="G230" s="1">
        <v>45007</v>
      </c>
      <c r="H230">
        <v>0</v>
      </c>
      <c r="I230">
        <v>0</v>
      </c>
      <c r="J230">
        <v>5220</v>
      </c>
      <c r="K230">
        <v>592</v>
      </c>
      <c r="L230">
        <v>1186</v>
      </c>
      <c r="M230">
        <v>43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37</v>
      </c>
      <c r="W230">
        <v>0</v>
      </c>
      <c r="X230">
        <v>1327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32</v>
      </c>
      <c r="AE230">
        <v>0</v>
      </c>
      <c r="AF230">
        <v>25</v>
      </c>
      <c r="AG230">
        <v>0</v>
      </c>
      <c r="AH230">
        <v>2</v>
      </c>
      <c r="AI230">
        <v>0</v>
      </c>
      <c r="AJ230">
        <v>0</v>
      </c>
      <c r="AK230">
        <f t="shared" si="4"/>
        <v>8464</v>
      </c>
    </row>
    <row r="231" spans="1:37" x14ac:dyDescent="0.3">
      <c r="A231">
        <v>529</v>
      </c>
      <c r="C231" t="s">
        <v>103</v>
      </c>
      <c r="D231" t="s">
        <v>109</v>
      </c>
      <c r="E231">
        <v>2300351</v>
      </c>
      <c r="F231" s="1">
        <v>44999</v>
      </c>
      <c r="G231" s="1">
        <v>45007</v>
      </c>
      <c r="H231">
        <v>0</v>
      </c>
      <c r="I231">
        <v>0</v>
      </c>
      <c r="J231">
        <v>5220</v>
      </c>
      <c r="K231">
        <v>592</v>
      </c>
      <c r="L231">
        <v>1186</v>
      </c>
      <c r="M231">
        <v>43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37</v>
      </c>
      <c r="W231">
        <v>0</v>
      </c>
      <c r="X231">
        <v>1327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32</v>
      </c>
      <c r="AE231">
        <v>0</v>
      </c>
      <c r="AF231">
        <v>25</v>
      </c>
      <c r="AG231">
        <v>0</v>
      </c>
      <c r="AH231">
        <v>2</v>
      </c>
      <c r="AI231">
        <v>0</v>
      </c>
      <c r="AJ231">
        <v>0</v>
      </c>
      <c r="AK231">
        <f t="shared" si="4"/>
        <v>8464</v>
      </c>
    </row>
    <row r="232" spans="1:37" x14ac:dyDescent="0.3">
      <c r="A232">
        <v>529</v>
      </c>
      <c r="C232" t="s">
        <v>103</v>
      </c>
      <c r="D232" t="s">
        <v>110</v>
      </c>
      <c r="E232">
        <v>2300336</v>
      </c>
      <c r="F232" s="1">
        <v>44999</v>
      </c>
      <c r="G232" s="1">
        <v>45007</v>
      </c>
      <c r="H232">
        <v>0</v>
      </c>
      <c r="I232">
        <v>0</v>
      </c>
      <c r="J232">
        <v>1806</v>
      </c>
      <c r="K232">
        <v>205</v>
      </c>
      <c r="L232">
        <v>410</v>
      </c>
      <c r="M232">
        <v>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13</v>
      </c>
      <c r="W232">
        <v>0</v>
      </c>
      <c r="X232">
        <v>459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9</v>
      </c>
      <c r="AG232">
        <v>0</v>
      </c>
      <c r="AH232">
        <v>1</v>
      </c>
      <c r="AI232">
        <v>0</v>
      </c>
      <c r="AJ232">
        <v>0</v>
      </c>
      <c r="AK232">
        <f t="shared" si="4"/>
        <v>2929</v>
      </c>
    </row>
    <row r="233" spans="1:37" x14ac:dyDescent="0.3">
      <c r="A233">
        <v>529</v>
      </c>
      <c r="C233" t="s">
        <v>103</v>
      </c>
      <c r="D233" t="s">
        <v>111</v>
      </c>
      <c r="E233">
        <v>2300335</v>
      </c>
      <c r="F233" s="1">
        <v>44999</v>
      </c>
      <c r="G233" s="1">
        <v>45007</v>
      </c>
      <c r="H233">
        <v>0</v>
      </c>
      <c r="I233">
        <v>0</v>
      </c>
      <c r="J233">
        <v>1806</v>
      </c>
      <c r="K233">
        <v>205</v>
      </c>
      <c r="L233">
        <v>410</v>
      </c>
      <c r="M233">
        <v>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13</v>
      </c>
      <c r="W233">
        <v>0</v>
      </c>
      <c r="X233">
        <v>459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11</v>
      </c>
      <c r="AE233">
        <v>0</v>
      </c>
      <c r="AF233">
        <v>9</v>
      </c>
      <c r="AG233">
        <v>0</v>
      </c>
      <c r="AH233">
        <v>1</v>
      </c>
      <c r="AI233">
        <v>0</v>
      </c>
      <c r="AJ233">
        <v>0</v>
      </c>
      <c r="AK233">
        <f t="shared" si="4"/>
        <v>2929</v>
      </c>
    </row>
    <row r="234" spans="1:37" x14ac:dyDescent="0.3">
      <c r="A234">
        <v>532</v>
      </c>
      <c r="C234" t="s">
        <v>103</v>
      </c>
      <c r="D234" t="s">
        <v>104</v>
      </c>
      <c r="E234">
        <v>2300333</v>
      </c>
      <c r="F234" s="1">
        <v>44994</v>
      </c>
      <c r="G234" s="1">
        <v>44998</v>
      </c>
      <c r="H234">
        <v>0</v>
      </c>
      <c r="I234">
        <v>0</v>
      </c>
      <c r="J234">
        <v>3192</v>
      </c>
      <c r="K234">
        <v>33</v>
      </c>
      <c r="L234">
        <v>1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f t="shared" si="4"/>
        <v>3229</v>
      </c>
    </row>
    <row r="235" spans="1:37" x14ac:dyDescent="0.3">
      <c r="A235">
        <v>532</v>
      </c>
      <c r="C235" t="s">
        <v>103</v>
      </c>
      <c r="D235" t="s">
        <v>105</v>
      </c>
      <c r="E235">
        <v>2300338</v>
      </c>
      <c r="F235" s="1">
        <v>44994</v>
      </c>
      <c r="G235" s="1">
        <v>44998</v>
      </c>
      <c r="H235">
        <v>0</v>
      </c>
      <c r="I235">
        <v>0</v>
      </c>
      <c r="J235">
        <v>3192</v>
      </c>
      <c r="K235">
        <v>33</v>
      </c>
      <c r="L235">
        <v>1</v>
      </c>
      <c r="M235">
        <v>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f t="shared" si="4"/>
        <v>3229</v>
      </c>
    </row>
    <row r="236" spans="1:37" x14ac:dyDescent="0.3">
      <c r="A236">
        <v>534</v>
      </c>
      <c r="C236" t="s">
        <v>103</v>
      </c>
      <c r="D236" t="s">
        <v>106</v>
      </c>
      <c r="E236">
        <v>2300334</v>
      </c>
      <c r="F236" s="1">
        <v>44994</v>
      </c>
      <c r="G236" s="1">
        <v>44998</v>
      </c>
      <c r="H236">
        <v>0</v>
      </c>
      <c r="I236">
        <v>0</v>
      </c>
      <c r="J236">
        <v>8663</v>
      </c>
      <c r="K236">
        <v>89</v>
      </c>
      <c r="L236">
        <v>4</v>
      </c>
      <c r="M236">
        <v>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f t="shared" si="4"/>
        <v>8765</v>
      </c>
    </row>
    <row r="237" spans="1:37" x14ac:dyDescent="0.3">
      <c r="A237">
        <v>534</v>
      </c>
      <c r="C237" t="s">
        <v>103</v>
      </c>
      <c r="D237" t="s">
        <v>107</v>
      </c>
      <c r="E237">
        <v>2300330</v>
      </c>
      <c r="F237" s="1">
        <v>44994</v>
      </c>
      <c r="G237" s="1">
        <v>44998</v>
      </c>
      <c r="H237">
        <v>0</v>
      </c>
      <c r="I237">
        <v>0</v>
      </c>
      <c r="J237">
        <v>3109</v>
      </c>
      <c r="K237">
        <v>32</v>
      </c>
      <c r="L237">
        <v>1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f t="shared" si="4"/>
        <v>3145</v>
      </c>
    </row>
    <row r="238" spans="1:37" x14ac:dyDescent="0.3">
      <c r="A238">
        <v>534</v>
      </c>
      <c r="C238" t="s">
        <v>103</v>
      </c>
      <c r="D238" t="s">
        <v>108</v>
      </c>
      <c r="E238">
        <v>2300348</v>
      </c>
      <c r="F238" s="1">
        <v>44994</v>
      </c>
      <c r="G238" s="1">
        <v>44998</v>
      </c>
      <c r="H238">
        <v>0</v>
      </c>
      <c r="I238">
        <v>0</v>
      </c>
      <c r="J238">
        <v>9226</v>
      </c>
      <c r="K238">
        <v>95</v>
      </c>
      <c r="L238">
        <v>4</v>
      </c>
      <c r="M238">
        <v>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f t="shared" si="4"/>
        <v>9334</v>
      </c>
    </row>
    <row r="239" spans="1:37" x14ac:dyDescent="0.3">
      <c r="A239">
        <v>534</v>
      </c>
      <c r="C239" t="s">
        <v>103</v>
      </c>
      <c r="D239" t="s">
        <v>40</v>
      </c>
      <c r="E239">
        <v>2301819</v>
      </c>
      <c r="F239" s="1">
        <v>44994</v>
      </c>
      <c r="G239" s="1">
        <v>44998</v>
      </c>
      <c r="H239">
        <v>0</v>
      </c>
      <c r="I239">
        <v>0</v>
      </c>
      <c r="J239">
        <v>9226</v>
      </c>
      <c r="K239">
        <v>95</v>
      </c>
      <c r="L239">
        <v>4</v>
      </c>
      <c r="M239">
        <v>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f t="shared" si="4"/>
        <v>9334</v>
      </c>
    </row>
    <row r="240" spans="1:37" x14ac:dyDescent="0.3">
      <c r="A240">
        <v>534</v>
      </c>
      <c r="C240" t="s">
        <v>103</v>
      </c>
      <c r="D240" t="s">
        <v>109</v>
      </c>
      <c r="E240">
        <v>2300351</v>
      </c>
      <c r="F240" s="1">
        <v>44994</v>
      </c>
      <c r="G240" s="1">
        <v>44998</v>
      </c>
      <c r="H240">
        <v>0</v>
      </c>
      <c r="I240">
        <v>0</v>
      </c>
      <c r="J240">
        <v>9226</v>
      </c>
      <c r="K240">
        <v>95</v>
      </c>
      <c r="L240">
        <v>4</v>
      </c>
      <c r="M240">
        <v>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f t="shared" si="4"/>
        <v>9334</v>
      </c>
    </row>
    <row r="241" spans="1:37" x14ac:dyDescent="0.3">
      <c r="A241">
        <v>534</v>
      </c>
      <c r="C241" t="s">
        <v>103</v>
      </c>
      <c r="D241" t="s">
        <v>110</v>
      </c>
      <c r="E241">
        <v>2300336</v>
      </c>
      <c r="F241" s="1">
        <v>44994</v>
      </c>
      <c r="G241" s="1">
        <v>44998</v>
      </c>
      <c r="H241">
        <v>0</v>
      </c>
      <c r="I241">
        <v>0</v>
      </c>
      <c r="J241">
        <v>3192</v>
      </c>
      <c r="K241">
        <v>33</v>
      </c>
      <c r="L241">
        <v>1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f t="shared" si="4"/>
        <v>3229</v>
      </c>
    </row>
    <row r="242" spans="1:37" x14ac:dyDescent="0.3">
      <c r="A242">
        <v>534</v>
      </c>
      <c r="C242" t="s">
        <v>103</v>
      </c>
      <c r="D242" t="s">
        <v>111</v>
      </c>
      <c r="E242">
        <v>2300335</v>
      </c>
      <c r="F242" s="1">
        <v>44994</v>
      </c>
      <c r="G242" s="1">
        <v>44998</v>
      </c>
      <c r="H242">
        <v>0</v>
      </c>
      <c r="I242">
        <v>0</v>
      </c>
      <c r="J242">
        <v>3192</v>
      </c>
      <c r="K242">
        <v>33</v>
      </c>
      <c r="L242">
        <v>1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f t="shared" si="4"/>
        <v>3229</v>
      </c>
    </row>
    <row r="243" spans="1:37" x14ac:dyDescent="0.3">
      <c r="A243">
        <v>538</v>
      </c>
      <c r="C243" t="s">
        <v>93</v>
      </c>
      <c r="D243" t="s">
        <v>102</v>
      </c>
      <c r="E243" s="13">
        <v>2305890</v>
      </c>
      <c r="F243" s="1">
        <v>45259</v>
      </c>
      <c r="G243" s="1">
        <v>45262</v>
      </c>
      <c r="H243">
        <v>0</v>
      </c>
      <c r="I243">
        <v>0</v>
      </c>
      <c r="J243">
        <v>237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290</v>
      </c>
      <c r="W243">
        <v>3</v>
      </c>
      <c r="X243">
        <v>37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438</v>
      </c>
      <c r="AE243">
        <v>0</v>
      </c>
      <c r="AF243">
        <v>22</v>
      </c>
      <c r="AG243">
        <v>0</v>
      </c>
      <c r="AH243">
        <v>96</v>
      </c>
      <c r="AI243">
        <v>0</v>
      </c>
      <c r="AJ243">
        <v>0</v>
      </c>
      <c r="AK243">
        <f t="shared" si="4"/>
        <v>1123</v>
      </c>
    </row>
    <row r="244" spans="1:37" x14ac:dyDescent="0.3">
      <c r="A244">
        <v>540</v>
      </c>
      <c r="C244" t="s">
        <v>96</v>
      </c>
      <c r="D244" t="s">
        <v>102</v>
      </c>
      <c r="E244">
        <v>2305877</v>
      </c>
      <c r="F244" s="1">
        <v>45259</v>
      </c>
      <c r="G244" s="1">
        <v>45265</v>
      </c>
      <c r="H244">
        <v>724</v>
      </c>
      <c r="I244">
        <v>0</v>
      </c>
      <c r="J244">
        <v>19914</v>
      </c>
      <c r="K244">
        <v>35</v>
      </c>
      <c r="L244">
        <v>4417</v>
      </c>
      <c r="M244">
        <v>275</v>
      </c>
      <c r="N244">
        <v>7</v>
      </c>
      <c r="O244">
        <v>3</v>
      </c>
      <c r="P244">
        <v>753</v>
      </c>
      <c r="Q244">
        <v>0</v>
      </c>
      <c r="R244">
        <v>480</v>
      </c>
      <c r="S244">
        <v>0</v>
      </c>
      <c r="T244">
        <v>2884</v>
      </c>
      <c r="U244">
        <v>1</v>
      </c>
      <c r="V244">
        <v>547</v>
      </c>
      <c r="W244">
        <v>0</v>
      </c>
      <c r="X244">
        <v>8109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1150</v>
      </c>
      <c r="AE244">
        <v>0</v>
      </c>
      <c r="AF244">
        <v>170</v>
      </c>
      <c r="AG244">
        <v>0</v>
      </c>
      <c r="AH244">
        <v>11</v>
      </c>
      <c r="AI244">
        <v>0</v>
      </c>
      <c r="AJ244">
        <v>0</v>
      </c>
      <c r="AK244">
        <f t="shared" si="4"/>
        <v>39480</v>
      </c>
    </row>
    <row r="245" spans="1:37" x14ac:dyDescent="0.3">
      <c r="A245">
        <v>540</v>
      </c>
      <c r="C245" t="s">
        <v>96</v>
      </c>
      <c r="D245" t="s">
        <v>7</v>
      </c>
      <c r="E245">
        <v>2300553</v>
      </c>
      <c r="F245" s="1">
        <v>45259</v>
      </c>
      <c r="G245" s="1">
        <v>45265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f t="shared" si="4"/>
        <v>1</v>
      </c>
    </row>
    <row r="246" spans="1:37" x14ac:dyDescent="0.3">
      <c r="A246">
        <v>542</v>
      </c>
      <c r="C246" t="s">
        <v>96</v>
      </c>
      <c r="D246" t="s">
        <v>102</v>
      </c>
      <c r="E246">
        <v>2305877</v>
      </c>
      <c r="F246" s="1">
        <v>45267</v>
      </c>
      <c r="G246" s="1">
        <v>45272</v>
      </c>
      <c r="H246">
        <v>1220</v>
      </c>
      <c r="I246">
        <v>0</v>
      </c>
      <c r="J246">
        <v>11776</v>
      </c>
      <c r="K246">
        <v>9</v>
      </c>
      <c r="L246">
        <v>18506</v>
      </c>
      <c r="M246">
        <v>375</v>
      </c>
      <c r="N246">
        <v>77</v>
      </c>
      <c r="O246">
        <v>276</v>
      </c>
      <c r="P246">
        <v>224</v>
      </c>
      <c r="Q246">
        <v>0</v>
      </c>
      <c r="R246">
        <v>764</v>
      </c>
      <c r="S246">
        <v>0</v>
      </c>
      <c r="T246">
        <v>672</v>
      </c>
      <c r="U246">
        <v>5</v>
      </c>
      <c r="V246">
        <v>365</v>
      </c>
      <c r="W246">
        <v>0</v>
      </c>
      <c r="X246">
        <v>3318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256</v>
      </c>
      <c r="AE246">
        <v>0</v>
      </c>
      <c r="AF246">
        <v>657</v>
      </c>
      <c r="AG246">
        <v>0</v>
      </c>
      <c r="AH246">
        <v>341</v>
      </c>
      <c r="AI246">
        <v>0</v>
      </c>
      <c r="AJ246">
        <v>0</v>
      </c>
      <c r="AK246">
        <f t="shared" si="4"/>
        <v>38841</v>
      </c>
    </row>
    <row r="247" spans="1:37" x14ac:dyDescent="0.3">
      <c r="A247">
        <v>542</v>
      </c>
      <c r="C247" t="s">
        <v>96</v>
      </c>
      <c r="D247" t="s">
        <v>7</v>
      </c>
      <c r="E247">
        <v>2300553</v>
      </c>
      <c r="F247" s="1">
        <v>45267</v>
      </c>
      <c r="G247" s="1">
        <v>45272</v>
      </c>
      <c r="H247">
        <v>0</v>
      </c>
      <c r="I247">
        <v>15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f t="shared" si="4"/>
        <v>15</v>
      </c>
    </row>
    <row r="248" spans="1:37" x14ac:dyDescent="0.3">
      <c r="A248">
        <v>544</v>
      </c>
      <c r="C248" t="s">
        <v>96</v>
      </c>
      <c r="D248" t="s">
        <v>102</v>
      </c>
      <c r="E248">
        <v>2305877</v>
      </c>
      <c r="F248" s="1">
        <v>45273</v>
      </c>
      <c r="G248" s="1">
        <v>45278</v>
      </c>
      <c r="H248">
        <v>403</v>
      </c>
      <c r="I248">
        <v>0</v>
      </c>
      <c r="J248">
        <v>9598</v>
      </c>
      <c r="K248">
        <v>29</v>
      </c>
      <c r="L248">
        <v>27128</v>
      </c>
      <c r="M248">
        <v>244</v>
      </c>
      <c r="N248">
        <v>104</v>
      </c>
      <c r="O248">
        <v>237</v>
      </c>
      <c r="P248">
        <v>206</v>
      </c>
      <c r="Q248">
        <v>0</v>
      </c>
      <c r="R248">
        <v>680</v>
      </c>
      <c r="S248">
        <v>0</v>
      </c>
      <c r="T248">
        <v>56</v>
      </c>
      <c r="U248">
        <v>0</v>
      </c>
      <c r="V248">
        <v>372</v>
      </c>
      <c r="W248">
        <v>0</v>
      </c>
      <c r="X248">
        <v>2841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104</v>
      </c>
      <c r="AE248">
        <v>0</v>
      </c>
      <c r="AF248">
        <v>179</v>
      </c>
      <c r="AG248">
        <v>0</v>
      </c>
      <c r="AH248">
        <v>145</v>
      </c>
      <c r="AI248">
        <v>0</v>
      </c>
      <c r="AJ248">
        <v>0</v>
      </c>
      <c r="AK248">
        <f t="shared" si="4"/>
        <v>42326</v>
      </c>
    </row>
    <row r="249" spans="1:37" x14ac:dyDescent="0.3">
      <c r="A249">
        <v>544</v>
      </c>
      <c r="C249" t="s">
        <v>96</v>
      </c>
      <c r="D249" t="s">
        <v>7</v>
      </c>
      <c r="E249">
        <v>2300553</v>
      </c>
      <c r="F249" s="1">
        <v>45273</v>
      </c>
      <c r="G249" s="1">
        <v>45278</v>
      </c>
      <c r="H249">
        <v>0</v>
      </c>
      <c r="I249">
        <v>15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f t="shared" si="4"/>
        <v>15</v>
      </c>
    </row>
    <row r="250" spans="1:37" x14ac:dyDescent="0.3">
      <c r="A250">
        <v>554</v>
      </c>
      <c r="C250" t="s">
        <v>96</v>
      </c>
      <c r="D250" t="s">
        <v>7</v>
      </c>
      <c r="E250">
        <v>2300553</v>
      </c>
      <c r="F250" s="1">
        <v>45279</v>
      </c>
      <c r="G250" s="1">
        <v>45284</v>
      </c>
      <c r="H250">
        <v>560</v>
      </c>
      <c r="I250">
        <v>0</v>
      </c>
      <c r="J250">
        <v>17703</v>
      </c>
      <c r="K250">
        <v>116</v>
      </c>
      <c r="L250">
        <v>13278</v>
      </c>
      <c r="M250">
        <v>375</v>
      </c>
      <c r="N250">
        <v>9</v>
      </c>
      <c r="O250">
        <v>4</v>
      </c>
      <c r="P250">
        <v>1493</v>
      </c>
      <c r="Q250">
        <v>0</v>
      </c>
      <c r="R250">
        <v>144</v>
      </c>
      <c r="S250">
        <v>0</v>
      </c>
      <c r="T250">
        <v>0</v>
      </c>
      <c r="U250">
        <v>0</v>
      </c>
      <c r="V250">
        <v>295</v>
      </c>
      <c r="W250">
        <v>0</v>
      </c>
      <c r="X250">
        <v>1860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152</v>
      </c>
      <c r="AE250">
        <v>27</v>
      </c>
      <c r="AF250">
        <v>90</v>
      </c>
      <c r="AG250">
        <v>0</v>
      </c>
      <c r="AH250">
        <v>6</v>
      </c>
      <c r="AI250">
        <v>0</v>
      </c>
      <c r="AJ250">
        <v>0</v>
      </c>
      <c r="AK250">
        <f t="shared" si="4"/>
        <v>36112</v>
      </c>
    </row>
    <row r="251" spans="1:37" x14ac:dyDescent="0.3">
      <c r="A251">
        <v>556</v>
      </c>
      <c r="C251" t="s">
        <v>84</v>
      </c>
      <c r="D251" t="s">
        <v>102</v>
      </c>
      <c r="E251">
        <v>2305878</v>
      </c>
      <c r="F251" s="1">
        <v>45262</v>
      </c>
      <c r="G251" s="1">
        <v>45268</v>
      </c>
      <c r="H251">
        <v>765</v>
      </c>
      <c r="I251">
        <v>0</v>
      </c>
      <c r="J251">
        <v>12696</v>
      </c>
      <c r="K251">
        <v>97</v>
      </c>
      <c r="L251">
        <v>6149</v>
      </c>
      <c r="M251">
        <v>230</v>
      </c>
      <c r="N251">
        <v>0</v>
      </c>
      <c r="O251">
        <v>0</v>
      </c>
      <c r="P251">
        <v>336</v>
      </c>
      <c r="Q251">
        <v>0</v>
      </c>
      <c r="R251">
        <v>184</v>
      </c>
      <c r="S251">
        <v>0</v>
      </c>
      <c r="T251">
        <v>0</v>
      </c>
      <c r="U251">
        <v>0</v>
      </c>
      <c r="V251">
        <v>525</v>
      </c>
      <c r="W251">
        <v>22</v>
      </c>
      <c r="X251">
        <v>8612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352</v>
      </c>
      <c r="AE251">
        <v>0</v>
      </c>
      <c r="AF251">
        <v>609</v>
      </c>
      <c r="AG251">
        <v>0</v>
      </c>
      <c r="AH251">
        <v>55</v>
      </c>
      <c r="AI251">
        <v>0</v>
      </c>
      <c r="AJ251">
        <v>0</v>
      </c>
      <c r="AK251">
        <f t="shared" si="4"/>
        <v>30632</v>
      </c>
    </row>
    <row r="252" spans="1:37" x14ac:dyDescent="0.3">
      <c r="A252">
        <v>558</v>
      </c>
      <c r="C252" t="s">
        <v>84</v>
      </c>
      <c r="D252" t="s">
        <v>102</v>
      </c>
      <c r="E252">
        <v>2305878</v>
      </c>
      <c r="F252" s="1">
        <v>45269</v>
      </c>
      <c r="G252" s="1">
        <v>45274</v>
      </c>
      <c r="H252">
        <v>220</v>
      </c>
      <c r="I252">
        <v>0</v>
      </c>
      <c r="J252">
        <v>13623</v>
      </c>
      <c r="K252">
        <v>149</v>
      </c>
      <c r="L252">
        <v>5486</v>
      </c>
      <c r="M252">
        <v>330</v>
      </c>
      <c r="N252">
        <v>0</v>
      </c>
      <c r="O252">
        <v>0</v>
      </c>
      <c r="P252">
        <v>1615</v>
      </c>
      <c r="Q252">
        <v>0</v>
      </c>
      <c r="R252">
        <v>548</v>
      </c>
      <c r="S252">
        <v>0</v>
      </c>
      <c r="T252">
        <v>0</v>
      </c>
      <c r="U252">
        <v>0</v>
      </c>
      <c r="V252">
        <v>641</v>
      </c>
      <c r="W252">
        <v>4</v>
      </c>
      <c r="X252">
        <v>9252</v>
      </c>
      <c r="Y252">
        <v>0</v>
      </c>
      <c r="Z252">
        <f>51*2.59</f>
        <v>132.09</v>
      </c>
      <c r="AA252">
        <v>0</v>
      </c>
      <c r="AB252">
        <f>48*2.59</f>
        <v>124.32</v>
      </c>
      <c r="AC252">
        <v>0</v>
      </c>
      <c r="AD252">
        <v>202</v>
      </c>
      <c r="AE252">
        <v>0</v>
      </c>
      <c r="AF252">
        <v>217</v>
      </c>
      <c r="AG252">
        <v>0</v>
      </c>
      <c r="AH252">
        <v>807</v>
      </c>
      <c r="AI252">
        <v>0</v>
      </c>
      <c r="AJ252">
        <v>0</v>
      </c>
      <c r="AK252">
        <f t="shared" si="4"/>
        <v>33350.410000000003</v>
      </c>
    </row>
    <row r="253" spans="1:37" x14ac:dyDescent="0.3">
      <c r="A253">
        <v>560</v>
      </c>
      <c r="C253" t="s">
        <v>84</v>
      </c>
      <c r="D253" t="s">
        <v>102</v>
      </c>
      <c r="E253">
        <v>2305878</v>
      </c>
      <c r="F253" s="1">
        <v>45275</v>
      </c>
      <c r="G253" s="1">
        <v>45281</v>
      </c>
      <c r="H253">
        <v>193</v>
      </c>
      <c r="I253">
        <v>0</v>
      </c>
      <c r="J253">
        <v>34119</v>
      </c>
      <c r="K253">
        <v>100</v>
      </c>
      <c r="L253">
        <v>191</v>
      </c>
      <c r="M253">
        <v>918</v>
      </c>
      <c r="N253">
        <v>38</v>
      </c>
      <c r="O253">
        <v>0</v>
      </c>
      <c r="P253">
        <v>3824</v>
      </c>
      <c r="Q253">
        <v>0</v>
      </c>
      <c r="R253">
        <v>16</v>
      </c>
      <c r="S253">
        <v>0</v>
      </c>
      <c r="T253">
        <v>0</v>
      </c>
      <c r="U253">
        <v>0</v>
      </c>
      <c r="V253">
        <v>120</v>
      </c>
      <c r="W253">
        <v>0</v>
      </c>
      <c r="X253">
        <v>1389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50</v>
      </c>
      <c r="AE253">
        <v>0</v>
      </c>
      <c r="AF253">
        <v>45</v>
      </c>
      <c r="AG253">
        <v>0</v>
      </c>
      <c r="AH253">
        <v>1</v>
      </c>
      <c r="AI253">
        <v>0</v>
      </c>
      <c r="AJ253">
        <v>0</v>
      </c>
      <c r="AK253">
        <f t="shared" si="4"/>
        <v>41004</v>
      </c>
    </row>
    <row r="254" spans="1:37" x14ac:dyDescent="0.3">
      <c r="A254">
        <v>562</v>
      </c>
      <c r="C254" t="s">
        <v>84</v>
      </c>
      <c r="D254" t="s">
        <v>7</v>
      </c>
      <c r="E254">
        <v>2300550</v>
      </c>
      <c r="F254" s="1">
        <v>45282</v>
      </c>
      <c r="G254" s="1">
        <v>45287</v>
      </c>
      <c r="H254">
        <v>325</v>
      </c>
      <c r="I254">
        <v>0</v>
      </c>
      <c r="J254">
        <v>18529</v>
      </c>
      <c r="K254">
        <v>44</v>
      </c>
      <c r="L254">
        <v>17</v>
      </c>
      <c r="M254">
        <v>251</v>
      </c>
      <c r="N254">
        <v>0</v>
      </c>
      <c r="O254">
        <v>0</v>
      </c>
      <c r="P254">
        <v>0</v>
      </c>
      <c r="Q254">
        <v>0</v>
      </c>
      <c r="R254">
        <v>32</v>
      </c>
      <c r="S254">
        <v>0</v>
      </c>
      <c r="T254">
        <v>0</v>
      </c>
      <c r="U254">
        <v>0</v>
      </c>
      <c r="V254">
        <v>934</v>
      </c>
      <c r="W254">
        <v>0</v>
      </c>
      <c r="X254">
        <v>11763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132</v>
      </c>
      <c r="AE254">
        <v>0</v>
      </c>
      <c r="AF254">
        <v>95</v>
      </c>
      <c r="AG254">
        <v>0</v>
      </c>
      <c r="AH254">
        <v>0</v>
      </c>
      <c r="AI254">
        <v>0</v>
      </c>
      <c r="AJ254">
        <v>0</v>
      </c>
      <c r="AK254">
        <f t="shared" si="4"/>
        <v>32122</v>
      </c>
    </row>
    <row r="255" spans="1:37" x14ac:dyDescent="0.3">
      <c r="A255">
        <v>564</v>
      </c>
      <c r="C255" t="s">
        <v>93</v>
      </c>
      <c r="D255" t="s">
        <v>102</v>
      </c>
      <c r="E255">
        <v>2305890</v>
      </c>
      <c r="F255" s="1">
        <v>45269</v>
      </c>
      <c r="G255" s="1">
        <v>45272</v>
      </c>
      <c r="H255">
        <v>0</v>
      </c>
      <c r="I255">
        <v>0</v>
      </c>
      <c r="J255">
        <v>476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84</v>
      </c>
      <c r="W255">
        <v>7</v>
      </c>
      <c r="X255">
        <v>88</v>
      </c>
      <c r="Y255">
        <v>0</v>
      </c>
      <c r="Z255">
        <v>0</v>
      </c>
      <c r="AA255">
        <v>0</v>
      </c>
      <c r="AB255">
        <f>26*2.59</f>
        <v>67.34</v>
      </c>
      <c r="AC255">
        <v>0</v>
      </c>
      <c r="AD255">
        <v>786</v>
      </c>
      <c r="AE255">
        <v>0</v>
      </c>
      <c r="AF255">
        <v>16</v>
      </c>
      <c r="AG255">
        <v>0</v>
      </c>
      <c r="AH255">
        <v>93</v>
      </c>
      <c r="AI255">
        <v>0</v>
      </c>
      <c r="AJ255">
        <v>0</v>
      </c>
      <c r="AK255">
        <f t="shared" si="4"/>
        <v>1619.3400000000001</v>
      </c>
    </row>
    <row r="256" spans="1:37" x14ac:dyDescent="0.3">
      <c r="A256">
        <v>564</v>
      </c>
      <c r="C256" t="s">
        <v>93</v>
      </c>
      <c r="D256" t="s">
        <v>7</v>
      </c>
      <c r="E256">
        <v>2300546</v>
      </c>
      <c r="F256" s="1">
        <v>45269</v>
      </c>
      <c r="G256" s="1">
        <v>45272</v>
      </c>
      <c r="H256">
        <v>0</v>
      </c>
      <c r="I256">
        <v>32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f t="shared" si="4"/>
        <v>32</v>
      </c>
    </row>
    <row r="257" spans="1:37" x14ac:dyDescent="0.3">
      <c r="A257">
        <v>566</v>
      </c>
      <c r="C257" t="s">
        <v>93</v>
      </c>
      <c r="D257" t="s">
        <v>102</v>
      </c>
      <c r="E257">
        <v>2305890</v>
      </c>
      <c r="F257" s="1">
        <v>45277</v>
      </c>
      <c r="G257" s="1">
        <v>45283</v>
      </c>
      <c r="H257">
        <v>82</v>
      </c>
      <c r="I257">
        <v>0</v>
      </c>
      <c r="J257">
        <v>1059</v>
      </c>
      <c r="K257">
        <v>2</v>
      </c>
      <c r="L257">
        <v>10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200</v>
      </c>
      <c r="S257">
        <v>0</v>
      </c>
      <c r="T257">
        <v>0</v>
      </c>
      <c r="U257">
        <v>0</v>
      </c>
      <c r="V257">
        <v>1413</v>
      </c>
      <c r="W257">
        <v>116</v>
      </c>
      <c r="X257">
        <v>227</v>
      </c>
      <c r="Y257">
        <v>0</v>
      </c>
      <c r="Z257">
        <v>0</v>
      </c>
      <c r="AA257">
        <v>0</v>
      </c>
      <c r="AB257">
        <f>54*2.59</f>
        <v>139.85999999999999</v>
      </c>
      <c r="AC257">
        <v>0</v>
      </c>
      <c r="AD257">
        <v>1820</v>
      </c>
      <c r="AE257">
        <v>0</v>
      </c>
      <c r="AF257">
        <v>104</v>
      </c>
      <c r="AG257">
        <v>0</v>
      </c>
      <c r="AH257">
        <v>346</v>
      </c>
      <c r="AI257">
        <v>0</v>
      </c>
      <c r="AJ257">
        <v>0</v>
      </c>
      <c r="AK257">
        <f t="shared" si="4"/>
        <v>5518.8600000000006</v>
      </c>
    </row>
    <row r="258" spans="1:37" x14ac:dyDescent="0.3">
      <c r="A258">
        <v>566</v>
      </c>
      <c r="C258" t="s">
        <v>93</v>
      </c>
      <c r="D258" t="s">
        <v>7</v>
      </c>
      <c r="E258">
        <v>2300546</v>
      </c>
      <c r="F258" s="1">
        <v>45277</v>
      </c>
      <c r="G258" s="1">
        <v>45283</v>
      </c>
      <c r="H258">
        <v>0</v>
      </c>
      <c r="I258">
        <v>200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f t="shared" si="4"/>
        <v>200</v>
      </c>
    </row>
    <row r="259" spans="1:37" x14ac:dyDescent="0.3">
      <c r="A259">
        <v>568</v>
      </c>
      <c r="C259" t="s">
        <v>93</v>
      </c>
      <c r="D259" t="s">
        <v>102</v>
      </c>
      <c r="E259">
        <v>2305890</v>
      </c>
      <c r="F259" s="1">
        <v>45283</v>
      </c>
      <c r="G259" s="1">
        <v>45285</v>
      </c>
      <c r="H259">
        <v>0</v>
      </c>
      <c r="I259">
        <v>0</v>
      </c>
      <c r="J259">
        <v>1021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268</v>
      </c>
      <c r="S259">
        <v>0</v>
      </c>
      <c r="T259">
        <v>0</v>
      </c>
      <c r="U259">
        <v>0</v>
      </c>
      <c r="V259">
        <v>319</v>
      </c>
      <c r="W259">
        <v>29</v>
      </c>
      <c r="X259">
        <v>67</v>
      </c>
      <c r="Y259">
        <v>0</v>
      </c>
      <c r="Z259">
        <v>0</v>
      </c>
      <c r="AA259">
        <v>0</v>
      </c>
      <c r="AB259">
        <f>26*2.59</f>
        <v>67.34</v>
      </c>
      <c r="AC259">
        <v>0</v>
      </c>
      <c r="AD259">
        <v>1008</v>
      </c>
      <c r="AE259">
        <v>0</v>
      </c>
      <c r="AF259">
        <v>31</v>
      </c>
      <c r="AG259">
        <v>0</v>
      </c>
      <c r="AH259">
        <v>156</v>
      </c>
      <c r="AI259">
        <v>0</v>
      </c>
      <c r="AJ259">
        <v>0</v>
      </c>
      <c r="AK259">
        <f t="shared" si="4"/>
        <v>2966.34</v>
      </c>
    </row>
    <row r="260" spans="1:37" x14ac:dyDescent="0.3">
      <c r="A260">
        <v>568</v>
      </c>
      <c r="C260" t="s">
        <v>93</v>
      </c>
      <c r="D260" t="s">
        <v>7</v>
      </c>
      <c r="E260">
        <v>2300546</v>
      </c>
      <c r="F260" s="1">
        <v>45283</v>
      </c>
      <c r="G260" s="1">
        <v>45285</v>
      </c>
      <c r="H260">
        <v>0</v>
      </c>
      <c r="I260">
        <v>212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f t="shared" si="4"/>
        <v>212</v>
      </c>
    </row>
    <row r="261" spans="1:37" x14ac:dyDescent="0.3">
      <c r="A261">
        <v>570</v>
      </c>
      <c r="C261" t="s">
        <v>93</v>
      </c>
      <c r="D261" t="s">
        <v>7</v>
      </c>
      <c r="E261">
        <v>2300546</v>
      </c>
      <c r="F261" s="1">
        <v>45290</v>
      </c>
      <c r="G261" s="1">
        <v>45290</v>
      </c>
      <c r="H261">
        <v>0</v>
      </c>
      <c r="I261">
        <v>7</v>
      </c>
      <c r="J261">
        <v>534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>34*2.59</f>
        <v>88.06</v>
      </c>
      <c r="AC261">
        <v>0</v>
      </c>
      <c r="AD261">
        <v>714</v>
      </c>
      <c r="AE261">
        <v>0</v>
      </c>
      <c r="AF261">
        <v>0</v>
      </c>
      <c r="AG261">
        <v>0</v>
      </c>
      <c r="AH261">
        <v>40</v>
      </c>
      <c r="AI261">
        <v>0</v>
      </c>
      <c r="AJ261">
        <v>0</v>
      </c>
      <c r="AK261">
        <f t="shared" si="4"/>
        <v>1431.06</v>
      </c>
    </row>
    <row r="262" spans="1:37" x14ac:dyDescent="0.3">
      <c r="A262">
        <v>572</v>
      </c>
      <c r="C262" t="s">
        <v>103</v>
      </c>
      <c r="D262" t="s">
        <v>106</v>
      </c>
      <c r="E262">
        <v>2300334</v>
      </c>
      <c r="F262" s="1">
        <v>45222</v>
      </c>
      <c r="G262" s="1">
        <v>45232</v>
      </c>
      <c r="H262">
        <v>58</v>
      </c>
      <c r="I262">
        <v>0</v>
      </c>
      <c r="J262">
        <v>3844</v>
      </c>
      <c r="K262">
        <v>433</v>
      </c>
      <c r="L262">
        <v>1131</v>
      </c>
      <c r="M262">
        <v>90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275</v>
      </c>
      <c r="W262">
        <v>81</v>
      </c>
      <c r="X262">
        <v>1568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148</v>
      </c>
      <c r="AE262">
        <v>0</v>
      </c>
      <c r="AF262">
        <v>68</v>
      </c>
      <c r="AG262">
        <v>0</v>
      </c>
      <c r="AH262">
        <v>21</v>
      </c>
      <c r="AI262">
        <v>7</v>
      </c>
      <c r="AJ262">
        <v>0</v>
      </c>
      <c r="AK262">
        <f t="shared" si="4"/>
        <v>7724</v>
      </c>
    </row>
    <row r="263" spans="1:37" x14ac:dyDescent="0.3">
      <c r="A263">
        <v>572</v>
      </c>
      <c r="C263" t="s">
        <v>103</v>
      </c>
      <c r="D263" t="s">
        <v>107</v>
      </c>
      <c r="E263">
        <v>2300330</v>
      </c>
      <c r="F263" s="1">
        <v>45222</v>
      </c>
      <c r="G263" s="1">
        <v>45232</v>
      </c>
      <c r="H263">
        <v>85</v>
      </c>
      <c r="I263">
        <v>0</v>
      </c>
      <c r="J263">
        <v>5629</v>
      </c>
      <c r="K263">
        <v>634</v>
      </c>
      <c r="L263">
        <v>1656</v>
      </c>
      <c r="M263">
        <v>132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403</v>
      </c>
      <c r="W263">
        <v>118</v>
      </c>
      <c r="X263">
        <v>2296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216</v>
      </c>
      <c r="AE263">
        <v>0</v>
      </c>
      <c r="AF263">
        <v>99</v>
      </c>
      <c r="AG263">
        <v>0</v>
      </c>
      <c r="AH263">
        <v>31</v>
      </c>
      <c r="AI263">
        <v>10</v>
      </c>
      <c r="AJ263">
        <v>0</v>
      </c>
      <c r="AK263">
        <f t="shared" si="4"/>
        <v>11309</v>
      </c>
    </row>
    <row r="264" spans="1:37" x14ac:dyDescent="0.3">
      <c r="A264">
        <v>572</v>
      </c>
      <c r="C264" t="s">
        <v>103</v>
      </c>
      <c r="D264" t="s">
        <v>108</v>
      </c>
      <c r="E264">
        <v>2300348</v>
      </c>
      <c r="F264" s="1">
        <v>45222</v>
      </c>
      <c r="G264" s="1">
        <v>45232</v>
      </c>
      <c r="H264">
        <v>61</v>
      </c>
      <c r="I264">
        <v>0</v>
      </c>
      <c r="J264">
        <v>4094</v>
      </c>
      <c r="K264">
        <v>461</v>
      </c>
      <c r="L264">
        <v>1204</v>
      </c>
      <c r="M264">
        <v>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293</v>
      </c>
      <c r="W264">
        <v>86</v>
      </c>
      <c r="X264">
        <v>1670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158</v>
      </c>
      <c r="AE264">
        <v>0</v>
      </c>
      <c r="AF264">
        <v>72</v>
      </c>
      <c r="AG264">
        <v>0</v>
      </c>
      <c r="AH264">
        <v>23</v>
      </c>
      <c r="AI264">
        <v>8</v>
      </c>
      <c r="AJ264">
        <v>0</v>
      </c>
      <c r="AK264">
        <f t="shared" si="4"/>
        <v>8226</v>
      </c>
    </row>
    <row r="265" spans="1:37" x14ac:dyDescent="0.3">
      <c r="A265">
        <v>572</v>
      </c>
      <c r="C265" t="s">
        <v>103</v>
      </c>
      <c r="D265" t="s">
        <v>40</v>
      </c>
      <c r="E265">
        <v>2301819</v>
      </c>
      <c r="F265" s="1">
        <v>45222</v>
      </c>
      <c r="G265" s="1">
        <v>45232</v>
      </c>
      <c r="H265">
        <v>61</v>
      </c>
      <c r="I265">
        <v>0</v>
      </c>
      <c r="J265">
        <v>4094</v>
      </c>
      <c r="K265">
        <v>461</v>
      </c>
      <c r="L265">
        <v>1204</v>
      </c>
      <c r="M265">
        <v>96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293</v>
      </c>
      <c r="W265">
        <v>86</v>
      </c>
      <c r="X265">
        <v>1670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158</v>
      </c>
      <c r="AE265">
        <v>0</v>
      </c>
      <c r="AF265">
        <v>72</v>
      </c>
      <c r="AG265">
        <v>0</v>
      </c>
      <c r="AH265">
        <v>23</v>
      </c>
      <c r="AI265">
        <v>8</v>
      </c>
      <c r="AJ265">
        <v>0</v>
      </c>
      <c r="AK265">
        <f t="shared" si="4"/>
        <v>8226</v>
      </c>
    </row>
    <row r="266" spans="1:37" x14ac:dyDescent="0.3">
      <c r="A266">
        <v>572</v>
      </c>
      <c r="C266" t="s">
        <v>103</v>
      </c>
      <c r="D266" t="s">
        <v>109</v>
      </c>
      <c r="E266">
        <v>2300351</v>
      </c>
      <c r="F266" s="1">
        <v>45222</v>
      </c>
      <c r="G266" s="1">
        <v>45232</v>
      </c>
      <c r="H266">
        <v>61</v>
      </c>
      <c r="I266">
        <v>0</v>
      </c>
      <c r="J266">
        <v>4094</v>
      </c>
      <c r="K266">
        <v>461</v>
      </c>
      <c r="L266">
        <v>1204</v>
      </c>
      <c r="M266">
        <v>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293</v>
      </c>
      <c r="W266">
        <v>86</v>
      </c>
      <c r="X266">
        <v>1670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158</v>
      </c>
      <c r="AE266">
        <v>0</v>
      </c>
      <c r="AF266">
        <v>72</v>
      </c>
      <c r="AG266">
        <v>0</v>
      </c>
      <c r="AH266">
        <v>23</v>
      </c>
      <c r="AI266">
        <v>8</v>
      </c>
      <c r="AJ266">
        <v>0</v>
      </c>
      <c r="AK266">
        <f t="shared" si="4"/>
        <v>8226</v>
      </c>
    </row>
    <row r="267" spans="1:37" x14ac:dyDescent="0.3">
      <c r="A267">
        <v>572</v>
      </c>
      <c r="C267" t="s">
        <v>103</v>
      </c>
      <c r="D267" t="s">
        <v>104</v>
      </c>
      <c r="E267">
        <v>2300333</v>
      </c>
      <c r="F267" s="1">
        <v>45222</v>
      </c>
      <c r="G267" s="1">
        <v>45232</v>
      </c>
      <c r="H267">
        <v>21</v>
      </c>
      <c r="I267">
        <v>0</v>
      </c>
      <c r="J267">
        <v>1416</v>
      </c>
      <c r="K267">
        <v>160</v>
      </c>
      <c r="L267">
        <v>417</v>
      </c>
      <c r="M267">
        <v>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101</v>
      </c>
      <c r="W267">
        <v>30</v>
      </c>
      <c r="X267">
        <v>578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54</v>
      </c>
      <c r="AE267">
        <v>0</v>
      </c>
      <c r="AF267">
        <v>25</v>
      </c>
      <c r="AG267">
        <v>0</v>
      </c>
      <c r="AH267">
        <v>8</v>
      </c>
      <c r="AI267">
        <v>3</v>
      </c>
      <c r="AJ267">
        <v>0</v>
      </c>
      <c r="AK267">
        <f t="shared" si="4"/>
        <v>2846</v>
      </c>
    </row>
    <row r="268" spans="1:37" x14ac:dyDescent="0.3">
      <c r="A268">
        <v>575</v>
      </c>
      <c r="C268" t="s">
        <v>103</v>
      </c>
      <c r="D268" t="s">
        <v>106</v>
      </c>
      <c r="E268">
        <v>2300334</v>
      </c>
      <c r="F268" s="1">
        <v>45236</v>
      </c>
      <c r="G268" s="1">
        <v>45245</v>
      </c>
      <c r="H268">
        <v>85</v>
      </c>
      <c r="I268">
        <v>0</v>
      </c>
      <c r="J268">
        <v>2419</v>
      </c>
      <c r="K268">
        <v>141</v>
      </c>
      <c r="L268">
        <v>659</v>
      </c>
      <c r="M268">
        <v>11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236</v>
      </c>
      <c r="W268">
        <v>48</v>
      </c>
      <c r="X268">
        <v>1999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38</v>
      </c>
      <c r="AE268">
        <v>0</v>
      </c>
      <c r="AF268">
        <v>51</v>
      </c>
      <c r="AG268">
        <v>0</v>
      </c>
      <c r="AH268">
        <v>20</v>
      </c>
      <c r="AI268">
        <v>28</v>
      </c>
      <c r="AJ268">
        <v>0</v>
      </c>
      <c r="AK268">
        <f t="shared" si="4"/>
        <v>5735</v>
      </c>
    </row>
    <row r="269" spans="1:37" x14ac:dyDescent="0.3">
      <c r="A269">
        <v>575</v>
      </c>
      <c r="C269" t="s">
        <v>103</v>
      </c>
      <c r="D269" t="s">
        <v>107</v>
      </c>
      <c r="E269">
        <v>2300330</v>
      </c>
      <c r="F269" s="1">
        <v>45236</v>
      </c>
      <c r="G269" s="1">
        <v>45245</v>
      </c>
      <c r="H269">
        <v>124</v>
      </c>
      <c r="I269">
        <v>0</v>
      </c>
      <c r="J269">
        <v>3542</v>
      </c>
      <c r="K269">
        <v>207</v>
      </c>
      <c r="L269">
        <v>964</v>
      </c>
      <c r="M269">
        <v>17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346</v>
      </c>
      <c r="W269">
        <v>71</v>
      </c>
      <c r="X269">
        <v>2928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56</v>
      </c>
      <c r="AE269">
        <v>0</v>
      </c>
      <c r="AF269">
        <v>75</v>
      </c>
      <c r="AG269">
        <v>0</v>
      </c>
      <c r="AH269">
        <v>30</v>
      </c>
      <c r="AI269">
        <v>41</v>
      </c>
      <c r="AJ269">
        <v>0</v>
      </c>
      <c r="AK269">
        <f t="shared" ref="AK269:AK332" si="5">SUM(H269:AJ269)</f>
        <v>8401</v>
      </c>
    </row>
    <row r="270" spans="1:37" x14ac:dyDescent="0.3">
      <c r="A270">
        <v>575</v>
      </c>
      <c r="C270" t="s">
        <v>103</v>
      </c>
      <c r="D270" t="s">
        <v>108</v>
      </c>
      <c r="E270">
        <v>2300348</v>
      </c>
      <c r="F270" s="1">
        <v>45236</v>
      </c>
      <c r="G270" s="1">
        <v>45245</v>
      </c>
      <c r="H270">
        <v>90</v>
      </c>
      <c r="I270">
        <v>0</v>
      </c>
      <c r="J270">
        <v>2576</v>
      </c>
      <c r="K270">
        <v>150</v>
      </c>
      <c r="L270">
        <v>701</v>
      </c>
      <c r="M270">
        <v>12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251</v>
      </c>
      <c r="W270">
        <v>52</v>
      </c>
      <c r="X270">
        <v>2129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40</v>
      </c>
      <c r="AE270">
        <v>0</v>
      </c>
      <c r="AF270">
        <v>54</v>
      </c>
      <c r="AG270">
        <v>0</v>
      </c>
      <c r="AH270">
        <v>22</v>
      </c>
      <c r="AI270">
        <v>30</v>
      </c>
      <c r="AJ270">
        <v>0</v>
      </c>
      <c r="AK270">
        <f t="shared" si="5"/>
        <v>6107</v>
      </c>
    </row>
    <row r="271" spans="1:37" x14ac:dyDescent="0.3">
      <c r="A271">
        <v>575</v>
      </c>
      <c r="C271" t="s">
        <v>103</v>
      </c>
      <c r="D271" t="s">
        <v>40</v>
      </c>
      <c r="E271">
        <v>2301819</v>
      </c>
      <c r="F271" s="1">
        <v>45236</v>
      </c>
      <c r="G271" s="1">
        <v>45245</v>
      </c>
      <c r="H271">
        <v>90</v>
      </c>
      <c r="I271">
        <v>0</v>
      </c>
      <c r="J271">
        <v>2576</v>
      </c>
      <c r="K271">
        <v>150</v>
      </c>
      <c r="L271">
        <v>701</v>
      </c>
      <c r="M271">
        <v>12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251</v>
      </c>
      <c r="W271">
        <v>52</v>
      </c>
      <c r="X271">
        <v>2129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40</v>
      </c>
      <c r="AE271">
        <v>0</v>
      </c>
      <c r="AF271">
        <v>54</v>
      </c>
      <c r="AG271">
        <v>0</v>
      </c>
      <c r="AH271">
        <v>22</v>
      </c>
      <c r="AI271">
        <v>30</v>
      </c>
      <c r="AJ271">
        <v>0</v>
      </c>
      <c r="AK271">
        <f t="shared" si="5"/>
        <v>6107</v>
      </c>
    </row>
    <row r="272" spans="1:37" x14ac:dyDescent="0.3">
      <c r="A272">
        <v>575</v>
      </c>
      <c r="C272" t="s">
        <v>103</v>
      </c>
      <c r="D272" t="s">
        <v>109</v>
      </c>
      <c r="E272">
        <v>2300351</v>
      </c>
      <c r="F272" s="1">
        <v>45236</v>
      </c>
      <c r="G272" s="1">
        <v>45245</v>
      </c>
      <c r="H272">
        <v>90</v>
      </c>
      <c r="I272">
        <v>0</v>
      </c>
      <c r="J272">
        <v>2576</v>
      </c>
      <c r="K272">
        <v>150</v>
      </c>
      <c r="L272">
        <v>701</v>
      </c>
      <c r="M272">
        <v>12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251</v>
      </c>
      <c r="W272">
        <v>52</v>
      </c>
      <c r="X272">
        <v>2129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40</v>
      </c>
      <c r="AE272">
        <v>0</v>
      </c>
      <c r="AF272">
        <v>54</v>
      </c>
      <c r="AG272">
        <v>0</v>
      </c>
      <c r="AH272">
        <v>22</v>
      </c>
      <c r="AI272">
        <v>30</v>
      </c>
      <c r="AJ272">
        <v>0</v>
      </c>
      <c r="AK272">
        <f t="shared" si="5"/>
        <v>6107</v>
      </c>
    </row>
    <row r="273" spans="1:41" x14ac:dyDescent="0.3">
      <c r="A273">
        <v>575</v>
      </c>
      <c r="C273" t="s">
        <v>103</v>
      </c>
      <c r="D273" t="s">
        <v>104</v>
      </c>
      <c r="E273">
        <v>2300333</v>
      </c>
      <c r="F273" s="1">
        <v>45236</v>
      </c>
      <c r="G273" s="1">
        <v>45245</v>
      </c>
      <c r="H273">
        <v>31</v>
      </c>
      <c r="I273">
        <v>0</v>
      </c>
      <c r="J273">
        <v>891</v>
      </c>
      <c r="K273">
        <v>52</v>
      </c>
      <c r="L273">
        <v>243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87</v>
      </c>
      <c r="W273">
        <v>18</v>
      </c>
      <c r="X273">
        <v>737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14</v>
      </c>
      <c r="AE273">
        <v>0</v>
      </c>
      <c r="AF273">
        <v>19</v>
      </c>
      <c r="AG273">
        <v>0</v>
      </c>
      <c r="AH273">
        <v>7</v>
      </c>
      <c r="AI273">
        <v>10</v>
      </c>
      <c r="AJ273">
        <v>0</v>
      </c>
      <c r="AK273">
        <f t="shared" si="5"/>
        <v>2113</v>
      </c>
    </row>
    <row r="274" spans="1:41" x14ac:dyDescent="0.3">
      <c r="A274">
        <v>578</v>
      </c>
      <c r="C274" t="s">
        <v>103</v>
      </c>
      <c r="D274" t="s">
        <v>106</v>
      </c>
      <c r="E274">
        <v>2300334</v>
      </c>
      <c r="F274" s="1">
        <v>45247</v>
      </c>
      <c r="G274" s="1">
        <v>45254</v>
      </c>
      <c r="H274">
        <v>29</v>
      </c>
      <c r="I274">
        <v>0</v>
      </c>
      <c r="J274">
        <v>2967</v>
      </c>
      <c r="K274">
        <v>1006</v>
      </c>
      <c r="L274">
        <v>1418</v>
      </c>
      <c r="M274">
        <v>54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149</v>
      </c>
      <c r="W274">
        <v>0</v>
      </c>
      <c r="X274">
        <v>385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242</v>
      </c>
      <c r="AE274">
        <v>0</v>
      </c>
      <c r="AF274">
        <v>24</v>
      </c>
      <c r="AG274">
        <v>0</v>
      </c>
      <c r="AH274">
        <v>0</v>
      </c>
      <c r="AI274">
        <v>13</v>
      </c>
      <c r="AJ274">
        <v>0</v>
      </c>
      <c r="AK274">
        <f t="shared" si="5"/>
        <v>6287</v>
      </c>
    </row>
    <row r="275" spans="1:41" x14ac:dyDescent="0.3">
      <c r="A275">
        <v>578</v>
      </c>
      <c r="C275" t="s">
        <v>103</v>
      </c>
      <c r="D275" t="s">
        <v>107</v>
      </c>
      <c r="E275">
        <v>2300330</v>
      </c>
      <c r="F275" s="1">
        <v>45247</v>
      </c>
      <c r="G275" s="1">
        <v>45254</v>
      </c>
      <c r="H275">
        <v>42</v>
      </c>
      <c r="I275">
        <v>0</v>
      </c>
      <c r="J275">
        <v>4345</v>
      </c>
      <c r="K275">
        <v>1473</v>
      </c>
      <c r="L275">
        <v>2076</v>
      </c>
      <c r="M275">
        <v>79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218</v>
      </c>
      <c r="W275">
        <v>0</v>
      </c>
      <c r="X275">
        <v>564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354</v>
      </c>
      <c r="AE275">
        <v>0</v>
      </c>
      <c r="AF275">
        <v>36</v>
      </c>
      <c r="AG275">
        <v>0</v>
      </c>
      <c r="AH275">
        <v>0</v>
      </c>
      <c r="AI275">
        <v>19</v>
      </c>
      <c r="AJ275">
        <v>0</v>
      </c>
      <c r="AK275">
        <f t="shared" si="5"/>
        <v>9206</v>
      </c>
    </row>
    <row r="276" spans="1:41" x14ac:dyDescent="0.3">
      <c r="A276">
        <v>578</v>
      </c>
      <c r="C276" t="s">
        <v>103</v>
      </c>
      <c r="D276" t="s">
        <v>108</v>
      </c>
      <c r="E276">
        <v>2300348</v>
      </c>
      <c r="F276" s="1">
        <v>45247</v>
      </c>
      <c r="G276" s="1">
        <v>45254</v>
      </c>
      <c r="H276">
        <v>31</v>
      </c>
      <c r="I276">
        <v>0</v>
      </c>
      <c r="J276">
        <v>3160</v>
      </c>
      <c r="K276">
        <v>1071</v>
      </c>
      <c r="L276">
        <v>1510</v>
      </c>
      <c r="M276">
        <v>58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159</v>
      </c>
      <c r="W276">
        <v>0</v>
      </c>
      <c r="X276">
        <v>410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257</v>
      </c>
      <c r="AE276">
        <v>0</v>
      </c>
      <c r="AF276">
        <v>26</v>
      </c>
      <c r="AG276">
        <v>0</v>
      </c>
      <c r="AH276">
        <v>0</v>
      </c>
      <c r="AI276">
        <v>14</v>
      </c>
      <c r="AJ276">
        <v>0</v>
      </c>
      <c r="AK276">
        <f t="shared" si="5"/>
        <v>6696</v>
      </c>
    </row>
    <row r="277" spans="1:41" x14ac:dyDescent="0.3">
      <c r="A277">
        <v>578</v>
      </c>
      <c r="C277" t="s">
        <v>103</v>
      </c>
      <c r="D277" t="s">
        <v>40</v>
      </c>
      <c r="E277">
        <v>2301819</v>
      </c>
      <c r="F277" s="1">
        <v>45247</v>
      </c>
      <c r="G277" s="1">
        <v>45254</v>
      </c>
      <c r="H277">
        <v>31</v>
      </c>
      <c r="I277">
        <v>0</v>
      </c>
      <c r="J277">
        <v>3160</v>
      </c>
      <c r="K277">
        <v>1071</v>
      </c>
      <c r="L277">
        <v>1510</v>
      </c>
      <c r="M277">
        <v>58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159</v>
      </c>
      <c r="W277">
        <v>0</v>
      </c>
      <c r="X277">
        <v>410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257</v>
      </c>
      <c r="AE277">
        <v>0</v>
      </c>
      <c r="AF277">
        <v>26</v>
      </c>
      <c r="AG277">
        <v>0</v>
      </c>
      <c r="AH277">
        <v>0</v>
      </c>
      <c r="AI277">
        <v>14</v>
      </c>
      <c r="AJ277">
        <v>0</v>
      </c>
      <c r="AK277">
        <f t="shared" si="5"/>
        <v>6696</v>
      </c>
    </row>
    <row r="278" spans="1:41" x14ac:dyDescent="0.3">
      <c r="A278">
        <v>578</v>
      </c>
      <c r="C278" t="s">
        <v>103</v>
      </c>
      <c r="D278" t="s">
        <v>109</v>
      </c>
      <c r="E278">
        <v>2300351</v>
      </c>
      <c r="F278" s="1">
        <v>45247</v>
      </c>
      <c r="G278" s="1">
        <v>45254</v>
      </c>
      <c r="H278">
        <v>31</v>
      </c>
      <c r="I278">
        <v>0</v>
      </c>
      <c r="J278">
        <v>3160</v>
      </c>
      <c r="K278">
        <v>1071</v>
      </c>
      <c r="L278">
        <v>1510</v>
      </c>
      <c r="M278">
        <v>58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159</v>
      </c>
      <c r="W278">
        <v>0</v>
      </c>
      <c r="X278">
        <v>410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257</v>
      </c>
      <c r="AE278">
        <v>0</v>
      </c>
      <c r="AF278">
        <v>26</v>
      </c>
      <c r="AG278">
        <v>0</v>
      </c>
      <c r="AH278">
        <v>0</v>
      </c>
      <c r="AI278">
        <v>14</v>
      </c>
      <c r="AJ278">
        <v>0</v>
      </c>
      <c r="AK278">
        <f t="shared" si="5"/>
        <v>6696</v>
      </c>
    </row>
    <row r="279" spans="1:41" x14ac:dyDescent="0.3">
      <c r="A279">
        <v>578</v>
      </c>
      <c r="C279" t="s">
        <v>103</v>
      </c>
      <c r="D279" t="s">
        <v>104</v>
      </c>
      <c r="E279">
        <v>2300333</v>
      </c>
      <c r="F279" s="1">
        <v>45247</v>
      </c>
      <c r="G279" s="1">
        <v>45254</v>
      </c>
      <c r="H279">
        <v>11</v>
      </c>
      <c r="I279">
        <v>0</v>
      </c>
      <c r="J279">
        <v>1093</v>
      </c>
      <c r="K279">
        <v>371</v>
      </c>
      <c r="L279">
        <v>522</v>
      </c>
      <c r="M279">
        <v>20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55</v>
      </c>
      <c r="W279">
        <v>0</v>
      </c>
      <c r="X279">
        <v>142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89</v>
      </c>
      <c r="AE279">
        <v>0</v>
      </c>
      <c r="AF279">
        <v>9</v>
      </c>
      <c r="AG279">
        <v>0</v>
      </c>
      <c r="AH279">
        <v>0</v>
      </c>
      <c r="AI279">
        <v>5</v>
      </c>
      <c r="AJ279">
        <v>0</v>
      </c>
      <c r="AK279">
        <f t="shared" si="5"/>
        <v>2317</v>
      </c>
    </row>
    <row r="280" spans="1:41" x14ac:dyDescent="0.3">
      <c r="A280">
        <v>580</v>
      </c>
      <c r="C280" t="s">
        <v>99</v>
      </c>
      <c r="D280" t="s">
        <v>100</v>
      </c>
      <c r="E280">
        <v>2304731</v>
      </c>
      <c r="F280" s="1">
        <v>45250</v>
      </c>
      <c r="G280" s="1">
        <v>45252</v>
      </c>
      <c r="H280">
        <v>66</v>
      </c>
      <c r="I280">
        <v>74</v>
      </c>
      <c r="J280">
        <v>1030</v>
      </c>
      <c r="K280">
        <v>2</v>
      </c>
      <c r="L280">
        <v>71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132</v>
      </c>
      <c r="S280">
        <v>0</v>
      </c>
      <c r="T280">
        <v>0</v>
      </c>
      <c r="U280">
        <v>0</v>
      </c>
      <c r="V280">
        <v>278</v>
      </c>
      <c r="W280">
        <v>1</v>
      </c>
      <c r="X280">
        <v>420</v>
      </c>
      <c r="Y280">
        <v>0</v>
      </c>
      <c r="Z280">
        <v>0</v>
      </c>
      <c r="AA280">
        <v>0</v>
      </c>
      <c r="AB280">
        <v>0</v>
      </c>
      <c r="AC280">
        <f>51*2.59</f>
        <v>132.09</v>
      </c>
      <c r="AD280">
        <v>48</v>
      </c>
      <c r="AE280">
        <v>0</v>
      </c>
      <c r="AF280">
        <v>5</v>
      </c>
      <c r="AG280">
        <v>0</v>
      </c>
      <c r="AH280">
        <v>1</v>
      </c>
      <c r="AI280">
        <v>8</v>
      </c>
      <c r="AJ280">
        <v>0</v>
      </c>
      <c r="AK280">
        <f t="shared" si="5"/>
        <v>2268.09</v>
      </c>
    </row>
    <row r="281" spans="1:41" x14ac:dyDescent="0.3">
      <c r="A281">
        <v>583</v>
      </c>
      <c r="C281" t="s">
        <v>99</v>
      </c>
      <c r="D281" t="s">
        <v>100</v>
      </c>
      <c r="E281">
        <v>2304731</v>
      </c>
      <c r="F281" s="1">
        <v>45246</v>
      </c>
      <c r="G281" s="1">
        <v>45249</v>
      </c>
      <c r="H281">
        <v>318</v>
      </c>
      <c r="I281">
        <v>297</v>
      </c>
      <c r="J281">
        <v>3372</v>
      </c>
      <c r="K281">
        <v>14</v>
      </c>
      <c r="L281">
        <v>1400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202</v>
      </c>
      <c r="S281">
        <v>0</v>
      </c>
      <c r="T281">
        <v>0</v>
      </c>
      <c r="U281">
        <v>0</v>
      </c>
      <c r="V281">
        <v>789</v>
      </c>
      <c r="W281">
        <v>152</v>
      </c>
      <c r="X281">
        <v>769</v>
      </c>
      <c r="Y281">
        <v>0</v>
      </c>
      <c r="Z281">
        <v>0</v>
      </c>
      <c r="AA281">
        <v>0</v>
      </c>
      <c r="AB281">
        <v>0</v>
      </c>
      <c r="AC281">
        <f>105*2.59</f>
        <v>271.95</v>
      </c>
      <c r="AD281">
        <v>500</v>
      </c>
      <c r="AE281">
        <v>0</v>
      </c>
      <c r="AF281">
        <v>30</v>
      </c>
      <c r="AG281">
        <v>0</v>
      </c>
      <c r="AH281">
        <v>9</v>
      </c>
      <c r="AI281">
        <v>12</v>
      </c>
      <c r="AJ281">
        <v>36</v>
      </c>
      <c r="AK281">
        <f t="shared" si="5"/>
        <v>8171.95</v>
      </c>
    </row>
    <row r="282" spans="1:41" x14ac:dyDescent="0.3">
      <c r="A282">
        <v>586</v>
      </c>
      <c r="C282" t="s">
        <v>99</v>
      </c>
      <c r="D282" t="s">
        <v>100</v>
      </c>
      <c r="E282">
        <v>2304731</v>
      </c>
      <c r="F282" s="1">
        <v>45242</v>
      </c>
      <c r="G282" s="1">
        <v>45244</v>
      </c>
      <c r="H282">
        <v>39</v>
      </c>
      <c r="I282">
        <v>68</v>
      </c>
      <c r="J282">
        <v>913</v>
      </c>
      <c r="K282">
        <v>0</v>
      </c>
      <c r="L282">
        <v>463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64</v>
      </c>
      <c r="S282">
        <v>0</v>
      </c>
      <c r="T282">
        <v>0</v>
      </c>
      <c r="U282">
        <v>0</v>
      </c>
      <c r="V282">
        <v>286</v>
      </c>
      <c r="W282">
        <v>0</v>
      </c>
      <c r="X282">
        <v>551</v>
      </c>
      <c r="Y282">
        <v>0</v>
      </c>
      <c r="Z282">
        <v>0</v>
      </c>
      <c r="AA282">
        <v>0</v>
      </c>
      <c r="AB282">
        <v>0</v>
      </c>
      <c r="AC282">
        <f>20*2.59</f>
        <v>51.8</v>
      </c>
      <c r="AD282">
        <v>87</v>
      </c>
      <c r="AE282">
        <v>0</v>
      </c>
      <c r="AF282">
        <v>70</v>
      </c>
      <c r="AG282">
        <v>0</v>
      </c>
      <c r="AH282">
        <v>0</v>
      </c>
      <c r="AI282">
        <v>6</v>
      </c>
      <c r="AJ282">
        <v>0</v>
      </c>
      <c r="AK282">
        <f t="shared" si="5"/>
        <v>2598.8000000000002</v>
      </c>
    </row>
    <row r="283" spans="1:41" x14ac:dyDescent="0.3">
      <c r="A283">
        <v>589</v>
      </c>
      <c r="C283" t="s">
        <v>99</v>
      </c>
      <c r="D283" t="s">
        <v>100</v>
      </c>
      <c r="E283">
        <v>2304731</v>
      </c>
      <c r="F283" s="1">
        <v>45237</v>
      </c>
      <c r="G283" s="1">
        <v>45240</v>
      </c>
      <c r="H283">
        <v>42</v>
      </c>
      <c r="I283">
        <v>202</v>
      </c>
      <c r="J283">
        <v>1947</v>
      </c>
      <c r="K283">
        <v>70</v>
      </c>
      <c r="L283">
        <v>968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352</v>
      </c>
      <c r="S283">
        <v>0</v>
      </c>
      <c r="T283">
        <v>0</v>
      </c>
      <c r="U283">
        <v>0</v>
      </c>
      <c r="V283">
        <v>898</v>
      </c>
      <c r="W283">
        <v>80</v>
      </c>
      <c r="X283">
        <v>1529</v>
      </c>
      <c r="Y283">
        <v>0</v>
      </c>
      <c r="Z283">
        <v>0</v>
      </c>
      <c r="AA283">
        <v>0</v>
      </c>
      <c r="AB283">
        <v>0</v>
      </c>
      <c r="AC283">
        <f>52*2.59</f>
        <v>134.68</v>
      </c>
      <c r="AD283">
        <v>138</v>
      </c>
      <c r="AE283">
        <v>0</v>
      </c>
      <c r="AF283">
        <v>214</v>
      </c>
      <c r="AG283">
        <v>0</v>
      </c>
      <c r="AH283">
        <v>4</v>
      </c>
      <c r="AI283">
        <v>9</v>
      </c>
      <c r="AJ283">
        <v>0</v>
      </c>
      <c r="AK283">
        <f t="shared" si="5"/>
        <v>6587.68</v>
      </c>
    </row>
    <row r="284" spans="1:41" x14ac:dyDescent="0.3">
      <c r="A284">
        <v>592</v>
      </c>
      <c r="C284" t="s">
        <v>39</v>
      </c>
      <c r="D284" t="s">
        <v>7</v>
      </c>
      <c r="E284">
        <v>2300647</v>
      </c>
      <c r="F284" s="1">
        <v>45210</v>
      </c>
      <c r="G284" s="1">
        <v>45218</v>
      </c>
      <c r="H284">
        <v>187</v>
      </c>
      <c r="I284">
        <v>147</v>
      </c>
      <c r="J284">
        <v>8383</v>
      </c>
      <c r="K284">
        <v>15</v>
      </c>
      <c r="L284">
        <v>1921</v>
      </c>
      <c r="M284">
        <v>24</v>
      </c>
      <c r="N284">
        <v>0</v>
      </c>
      <c r="O284">
        <v>252</v>
      </c>
      <c r="P284">
        <v>0</v>
      </c>
      <c r="Q284">
        <v>0</v>
      </c>
      <c r="R284">
        <v>564</v>
      </c>
      <c r="S284">
        <v>0</v>
      </c>
      <c r="T284">
        <v>0</v>
      </c>
      <c r="U284">
        <v>0</v>
      </c>
      <c r="V284">
        <v>1933</v>
      </c>
      <c r="W284">
        <v>251</v>
      </c>
      <c r="X284">
        <v>1727</v>
      </c>
      <c r="Y284">
        <v>0</v>
      </c>
      <c r="Z284">
        <f>3*2.59</f>
        <v>7.77</v>
      </c>
      <c r="AA284">
        <v>0</v>
      </c>
      <c r="AB284">
        <f>56*2.59</f>
        <v>145.04</v>
      </c>
      <c r="AC284">
        <v>0</v>
      </c>
      <c r="AD284">
        <v>3166</v>
      </c>
      <c r="AE284">
        <v>0</v>
      </c>
      <c r="AF284">
        <v>1119</v>
      </c>
      <c r="AG284">
        <v>0</v>
      </c>
      <c r="AH284">
        <v>136</v>
      </c>
      <c r="AI284">
        <v>6</v>
      </c>
      <c r="AJ284">
        <v>0</v>
      </c>
      <c r="AK284">
        <f t="shared" si="5"/>
        <v>19983.810000000001</v>
      </c>
      <c r="AO284">
        <v>2.59</v>
      </c>
    </row>
    <row r="285" spans="1:41" x14ac:dyDescent="0.3">
      <c r="A285">
        <v>595</v>
      </c>
      <c r="C285" t="s">
        <v>39</v>
      </c>
      <c r="D285" t="s">
        <v>7</v>
      </c>
      <c r="E285">
        <v>2300647</v>
      </c>
      <c r="F285" s="1">
        <v>45222</v>
      </c>
      <c r="G285" s="1">
        <v>45229</v>
      </c>
      <c r="H285">
        <v>265</v>
      </c>
      <c r="I285">
        <v>209</v>
      </c>
      <c r="J285">
        <v>4057</v>
      </c>
      <c r="K285">
        <v>6</v>
      </c>
      <c r="L285">
        <v>1868</v>
      </c>
      <c r="M285">
        <v>24</v>
      </c>
      <c r="N285">
        <v>16</v>
      </c>
      <c r="O285">
        <v>41</v>
      </c>
      <c r="P285">
        <v>0</v>
      </c>
      <c r="Q285">
        <v>0</v>
      </c>
      <c r="R285">
        <v>504</v>
      </c>
      <c r="S285">
        <v>0</v>
      </c>
      <c r="T285">
        <v>0</v>
      </c>
      <c r="U285">
        <v>0</v>
      </c>
      <c r="V285">
        <v>1618</v>
      </c>
      <c r="W285">
        <v>2366</v>
      </c>
      <c r="X285">
        <v>4086</v>
      </c>
      <c r="Y285">
        <v>0</v>
      </c>
      <c r="Z285">
        <f>3*2.59</f>
        <v>7.77</v>
      </c>
      <c r="AA285">
        <v>0</v>
      </c>
      <c r="AB285">
        <f>61*2.59</f>
        <v>157.98999999999998</v>
      </c>
      <c r="AC285">
        <v>0</v>
      </c>
      <c r="AD285">
        <v>1054</v>
      </c>
      <c r="AE285">
        <v>0</v>
      </c>
      <c r="AF285">
        <v>2060</v>
      </c>
      <c r="AG285">
        <v>0</v>
      </c>
      <c r="AH285">
        <v>761</v>
      </c>
      <c r="AI285">
        <v>20</v>
      </c>
      <c r="AJ285">
        <v>0</v>
      </c>
      <c r="AK285">
        <f t="shared" si="5"/>
        <v>19120.760000000002</v>
      </c>
      <c r="AO285">
        <v>2.59</v>
      </c>
    </row>
    <row r="286" spans="1:41" x14ac:dyDescent="0.3">
      <c r="A286">
        <v>598</v>
      </c>
      <c r="C286" t="s">
        <v>74</v>
      </c>
      <c r="D286" t="s">
        <v>7</v>
      </c>
      <c r="E286">
        <v>2300514</v>
      </c>
      <c r="F286" s="1">
        <v>45196</v>
      </c>
      <c r="G286" s="1">
        <v>45201</v>
      </c>
      <c r="H286">
        <v>30</v>
      </c>
      <c r="I286">
        <v>55</v>
      </c>
      <c r="J286">
        <v>3641</v>
      </c>
      <c r="K286">
        <v>18</v>
      </c>
      <c r="L286">
        <v>356</v>
      </c>
      <c r="M286">
        <v>0</v>
      </c>
      <c r="N286">
        <v>0</v>
      </c>
      <c r="O286">
        <v>18</v>
      </c>
      <c r="P286">
        <v>0</v>
      </c>
      <c r="Q286">
        <v>0</v>
      </c>
      <c r="R286">
        <v>856</v>
      </c>
      <c r="S286">
        <v>0</v>
      </c>
      <c r="T286">
        <v>0</v>
      </c>
      <c r="U286">
        <v>0</v>
      </c>
      <c r="V286">
        <v>734</v>
      </c>
      <c r="W286">
        <v>499</v>
      </c>
      <c r="X286">
        <v>1676</v>
      </c>
      <c r="Y286">
        <v>0</v>
      </c>
      <c r="Z286">
        <f>6*2.59</f>
        <v>15.54</v>
      </c>
      <c r="AA286">
        <v>0</v>
      </c>
      <c r="AB286">
        <f>107*2.59</f>
        <v>277.13</v>
      </c>
      <c r="AC286">
        <v>0</v>
      </c>
      <c r="AD286">
        <v>594</v>
      </c>
      <c r="AE286">
        <v>0</v>
      </c>
      <c r="AF286">
        <v>549</v>
      </c>
      <c r="AG286">
        <v>0</v>
      </c>
      <c r="AH286">
        <v>122</v>
      </c>
      <c r="AI286">
        <v>6</v>
      </c>
      <c r="AJ286">
        <v>0</v>
      </c>
      <c r="AK286">
        <f t="shared" si="5"/>
        <v>9446.67</v>
      </c>
      <c r="AO286">
        <v>2.59</v>
      </c>
    </row>
    <row r="287" spans="1:41" x14ac:dyDescent="0.3">
      <c r="A287">
        <v>600</v>
      </c>
      <c r="C287" t="s">
        <v>74</v>
      </c>
      <c r="D287" t="s">
        <v>7</v>
      </c>
      <c r="E287">
        <v>2300514</v>
      </c>
      <c r="F287" s="1">
        <v>45203</v>
      </c>
      <c r="G287" s="1">
        <v>45208</v>
      </c>
      <c r="H287">
        <v>11</v>
      </c>
      <c r="I287">
        <v>32</v>
      </c>
      <c r="J287">
        <v>1333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40</v>
      </c>
      <c r="S287">
        <v>0</v>
      </c>
      <c r="T287">
        <v>0</v>
      </c>
      <c r="U287">
        <v>0</v>
      </c>
      <c r="V287">
        <v>188</v>
      </c>
      <c r="W287">
        <v>18</v>
      </c>
      <c r="X287">
        <v>2</v>
      </c>
      <c r="Y287">
        <v>0</v>
      </c>
      <c r="Z287">
        <f>4*2.59</f>
        <v>10.36</v>
      </c>
      <c r="AA287">
        <v>0</v>
      </c>
      <c r="AB287">
        <f>83*2.59</f>
        <v>214.97</v>
      </c>
      <c r="AC287">
        <v>0</v>
      </c>
      <c r="AD287">
        <v>1896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f t="shared" si="5"/>
        <v>3747.33</v>
      </c>
      <c r="AO287">
        <v>2.59</v>
      </c>
    </row>
    <row r="288" spans="1:41" x14ac:dyDescent="0.3">
      <c r="A288">
        <v>603</v>
      </c>
      <c r="C288" t="s">
        <v>74</v>
      </c>
      <c r="D288" t="s">
        <v>7</v>
      </c>
      <c r="E288">
        <v>2300514</v>
      </c>
      <c r="F288" s="1">
        <v>45210</v>
      </c>
      <c r="G288" s="1">
        <v>45218</v>
      </c>
      <c r="H288">
        <v>157</v>
      </c>
      <c r="I288">
        <v>33</v>
      </c>
      <c r="J288">
        <v>7939</v>
      </c>
      <c r="K288">
        <v>50</v>
      </c>
      <c r="L288">
        <v>100</v>
      </c>
      <c r="M288">
        <v>45</v>
      </c>
      <c r="N288">
        <v>2</v>
      </c>
      <c r="O288">
        <v>82</v>
      </c>
      <c r="P288">
        <v>0</v>
      </c>
      <c r="Q288">
        <v>0</v>
      </c>
      <c r="R288">
        <v>384</v>
      </c>
      <c r="S288">
        <v>0</v>
      </c>
      <c r="T288">
        <v>0</v>
      </c>
      <c r="U288">
        <v>0</v>
      </c>
      <c r="V288">
        <v>1855</v>
      </c>
      <c r="W288">
        <v>36</v>
      </c>
      <c r="X288">
        <v>658</v>
      </c>
      <c r="Y288">
        <v>0</v>
      </c>
      <c r="Z288">
        <f>7*2.59</f>
        <v>18.13</v>
      </c>
      <c r="AA288">
        <v>0</v>
      </c>
      <c r="AB288">
        <f>132*2.59</f>
        <v>341.88</v>
      </c>
      <c r="AC288">
        <v>0</v>
      </c>
      <c r="AD288">
        <v>4340</v>
      </c>
      <c r="AE288">
        <v>0</v>
      </c>
      <c r="AF288">
        <v>434</v>
      </c>
      <c r="AG288">
        <v>0</v>
      </c>
      <c r="AH288">
        <v>302</v>
      </c>
      <c r="AI288">
        <v>3</v>
      </c>
      <c r="AJ288">
        <v>0</v>
      </c>
      <c r="AK288">
        <f t="shared" si="5"/>
        <v>16780.009999999998</v>
      </c>
      <c r="AO288">
        <v>2.59</v>
      </c>
    </row>
    <row r="289" spans="1:41" x14ac:dyDescent="0.3">
      <c r="A289">
        <v>606</v>
      </c>
      <c r="C289" t="s">
        <v>74</v>
      </c>
      <c r="D289" t="s">
        <v>7</v>
      </c>
      <c r="E289">
        <v>2300514</v>
      </c>
      <c r="F289" s="1">
        <v>45222</v>
      </c>
      <c r="G289" s="1">
        <v>45229</v>
      </c>
      <c r="H289">
        <v>103</v>
      </c>
      <c r="I289">
        <v>43</v>
      </c>
      <c r="J289">
        <v>2773</v>
      </c>
      <c r="K289">
        <v>8</v>
      </c>
      <c r="L289">
        <v>182</v>
      </c>
      <c r="M289">
        <v>28</v>
      </c>
      <c r="N289">
        <v>11</v>
      </c>
      <c r="O289">
        <v>0</v>
      </c>
      <c r="P289">
        <v>0</v>
      </c>
      <c r="Q289">
        <v>0</v>
      </c>
      <c r="R289">
        <v>656</v>
      </c>
      <c r="S289">
        <v>0</v>
      </c>
      <c r="T289">
        <v>0</v>
      </c>
      <c r="U289">
        <v>0</v>
      </c>
      <c r="V289">
        <v>1047</v>
      </c>
      <c r="W289">
        <v>1203</v>
      </c>
      <c r="X289">
        <v>2312</v>
      </c>
      <c r="Y289">
        <v>0</v>
      </c>
      <c r="Z289">
        <f>11*2.59</f>
        <v>28.49</v>
      </c>
      <c r="AA289">
        <v>0</v>
      </c>
      <c r="AB289">
        <f>217*2.59</f>
        <v>562.03</v>
      </c>
      <c r="AC289">
        <v>0</v>
      </c>
      <c r="AD289">
        <v>1570</v>
      </c>
      <c r="AE289">
        <v>0</v>
      </c>
      <c r="AF289">
        <v>1353</v>
      </c>
      <c r="AG289">
        <v>0</v>
      </c>
      <c r="AH289">
        <v>641</v>
      </c>
      <c r="AI289">
        <v>5</v>
      </c>
      <c r="AJ289">
        <v>0</v>
      </c>
      <c r="AK289">
        <f t="shared" si="5"/>
        <v>12525.52</v>
      </c>
      <c r="AO289">
        <v>2.59</v>
      </c>
    </row>
    <row r="290" spans="1:41" x14ac:dyDescent="0.3">
      <c r="A290">
        <v>609</v>
      </c>
      <c r="C290" t="s">
        <v>91</v>
      </c>
      <c r="D290" t="s">
        <v>7</v>
      </c>
      <c r="E290">
        <v>2300585</v>
      </c>
      <c r="F290" s="1">
        <v>45196</v>
      </c>
      <c r="G290" s="1">
        <v>45204</v>
      </c>
      <c r="H290">
        <v>66</v>
      </c>
      <c r="I290">
        <v>83</v>
      </c>
      <c r="J290">
        <v>4046</v>
      </c>
      <c r="K290">
        <v>24</v>
      </c>
      <c r="L290">
        <v>282</v>
      </c>
      <c r="M290">
        <v>0</v>
      </c>
      <c r="N290">
        <v>0</v>
      </c>
      <c r="O290">
        <v>4</v>
      </c>
      <c r="P290">
        <v>0</v>
      </c>
      <c r="Q290">
        <v>0</v>
      </c>
      <c r="R290">
        <v>470</v>
      </c>
      <c r="S290">
        <v>0</v>
      </c>
      <c r="T290">
        <v>0</v>
      </c>
      <c r="U290">
        <v>0</v>
      </c>
      <c r="V290">
        <v>902</v>
      </c>
      <c r="W290">
        <v>474</v>
      </c>
      <c r="X290">
        <v>2154</v>
      </c>
      <c r="Y290">
        <v>0</v>
      </c>
      <c r="Z290">
        <f>6*2.59</f>
        <v>15.54</v>
      </c>
      <c r="AA290">
        <v>0</v>
      </c>
      <c r="AB290">
        <f>107*2.59</f>
        <v>277.13</v>
      </c>
      <c r="AC290">
        <v>0</v>
      </c>
      <c r="AD290">
        <v>438</v>
      </c>
      <c r="AE290">
        <v>0</v>
      </c>
      <c r="AF290">
        <v>654</v>
      </c>
      <c r="AG290">
        <v>0</v>
      </c>
      <c r="AH290">
        <v>256</v>
      </c>
      <c r="AI290">
        <v>10</v>
      </c>
      <c r="AJ290">
        <v>0</v>
      </c>
      <c r="AK290">
        <f t="shared" si="5"/>
        <v>10155.67</v>
      </c>
      <c r="AO290">
        <v>2.59</v>
      </c>
    </row>
    <row r="291" spans="1:41" x14ac:dyDescent="0.3">
      <c r="A291">
        <v>612</v>
      </c>
      <c r="C291" t="s">
        <v>91</v>
      </c>
      <c r="D291" t="s">
        <v>7</v>
      </c>
      <c r="E291">
        <v>2300585</v>
      </c>
      <c r="F291" s="1">
        <v>45210</v>
      </c>
      <c r="G291" s="1">
        <v>45215</v>
      </c>
      <c r="H291">
        <v>126</v>
      </c>
      <c r="I291">
        <v>66</v>
      </c>
      <c r="J291">
        <v>2260</v>
      </c>
      <c r="K291">
        <v>5</v>
      </c>
      <c r="L291">
        <v>22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180</v>
      </c>
      <c r="S291">
        <v>0</v>
      </c>
      <c r="T291">
        <v>0</v>
      </c>
      <c r="U291">
        <v>0</v>
      </c>
      <c r="V291">
        <v>294</v>
      </c>
      <c r="W291">
        <v>122</v>
      </c>
      <c r="X291">
        <v>1335</v>
      </c>
      <c r="Y291">
        <v>0</v>
      </c>
      <c r="Z291">
        <v>0</v>
      </c>
      <c r="AA291">
        <v>0</v>
      </c>
      <c r="AB291">
        <f>6*2.59</f>
        <v>15.54</v>
      </c>
      <c r="AC291">
        <v>0</v>
      </c>
      <c r="AD291">
        <v>710</v>
      </c>
      <c r="AE291">
        <v>0</v>
      </c>
      <c r="AF291">
        <v>497</v>
      </c>
      <c r="AG291">
        <v>0</v>
      </c>
      <c r="AH291">
        <v>122</v>
      </c>
      <c r="AI291">
        <v>19</v>
      </c>
      <c r="AJ291">
        <v>0</v>
      </c>
      <c r="AK291">
        <f t="shared" si="5"/>
        <v>5773.54</v>
      </c>
      <c r="AO291">
        <v>2.59</v>
      </c>
    </row>
    <row r="292" spans="1:41" x14ac:dyDescent="0.3">
      <c r="A292">
        <v>615</v>
      </c>
      <c r="C292" t="s">
        <v>91</v>
      </c>
      <c r="D292" t="s">
        <v>7</v>
      </c>
      <c r="E292">
        <v>2300585</v>
      </c>
      <c r="F292" s="1">
        <v>45216</v>
      </c>
      <c r="G292" s="1">
        <v>45222</v>
      </c>
      <c r="H292">
        <v>72</v>
      </c>
      <c r="I292">
        <v>59</v>
      </c>
      <c r="J292">
        <v>1824</v>
      </c>
      <c r="K292">
        <v>3</v>
      </c>
      <c r="L292">
        <v>13</v>
      </c>
      <c r="M292">
        <v>24</v>
      </c>
      <c r="N292">
        <v>0</v>
      </c>
      <c r="O292">
        <v>6</v>
      </c>
      <c r="P292">
        <v>0</v>
      </c>
      <c r="Q292">
        <v>0</v>
      </c>
      <c r="R292">
        <v>192</v>
      </c>
      <c r="S292">
        <v>0</v>
      </c>
      <c r="T292">
        <v>0</v>
      </c>
      <c r="U292">
        <v>0</v>
      </c>
      <c r="V292">
        <v>717</v>
      </c>
      <c r="W292">
        <v>56</v>
      </c>
      <c r="X292">
        <v>656</v>
      </c>
      <c r="Y292">
        <v>0</v>
      </c>
      <c r="Z292">
        <f>6*2.59</f>
        <v>15.54</v>
      </c>
      <c r="AA292">
        <v>0</v>
      </c>
      <c r="AB292">
        <f>112*2.59</f>
        <v>290.08</v>
      </c>
      <c r="AC292">
        <v>0</v>
      </c>
      <c r="AD292">
        <v>1622</v>
      </c>
      <c r="AE292">
        <v>0</v>
      </c>
      <c r="AF292">
        <v>308</v>
      </c>
      <c r="AG292">
        <v>0</v>
      </c>
      <c r="AH292">
        <v>86</v>
      </c>
      <c r="AI292">
        <v>5</v>
      </c>
      <c r="AJ292">
        <v>0</v>
      </c>
      <c r="AK292">
        <f t="shared" si="5"/>
        <v>5948.62</v>
      </c>
      <c r="AO292">
        <v>2.59</v>
      </c>
    </row>
    <row r="293" spans="1:41" x14ac:dyDescent="0.3">
      <c r="A293">
        <v>618</v>
      </c>
      <c r="C293" t="s">
        <v>78</v>
      </c>
      <c r="D293" t="s">
        <v>7</v>
      </c>
      <c r="E293">
        <v>2300463</v>
      </c>
      <c r="F293" s="1">
        <v>45200</v>
      </c>
      <c r="G293" s="1">
        <v>45205</v>
      </c>
      <c r="H293">
        <v>4</v>
      </c>
      <c r="I293">
        <v>174</v>
      </c>
      <c r="J293">
        <v>550</v>
      </c>
      <c r="K293">
        <v>50</v>
      </c>
      <c r="L293">
        <v>140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284</v>
      </c>
      <c r="S293">
        <v>0</v>
      </c>
      <c r="T293">
        <v>0</v>
      </c>
      <c r="U293">
        <v>0</v>
      </c>
      <c r="V293">
        <v>907</v>
      </c>
      <c r="W293">
        <v>1764</v>
      </c>
      <c r="X293">
        <v>4155</v>
      </c>
      <c r="Y293">
        <v>0</v>
      </c>
      <c r="Z293">
        <f>1*2.59</f>
        <v>2.59</v>
      </c>
      <c r="AA293">
        <v>0</v>
      </c>
      <c r="AB293">
        <f>25*2.59</f>
        <v>64.75</v>
      </c>
      <c r="AC293">
        <v>0</v>
      </c>
      <c r="AD293">
        <v>798</v>
      </c>
      <c r="AE293">
        <v>0</v>
      </c>
      <c r="AF293">
        <v>608</v>
      </c>
      <c r="AG293">
        <v>0</v>
      </c>
      <c r="AH293">
        <v>284</v>
      </c>
      <c r="AI293">
        <v>19</v>
      </c>
      <c r="AJ293">
        <v>0</v>
      </c>
      <c r="AK293">
        <f t="shared" si="5"/>
        <v>9804.34</v>
      </c>
      <c r="AO293">
        <v>2.59</v>
      </c>
    </row>
    <row r="294" spans="1:41" x14ac:dyDescent="0.3">
      <c r="A294">
        <v>621</v>
      </c>
      <c r="C294" t="s">
        <v>78</v>
      </c>
      <c r="D294" t="s">
        <v>7</v>
      </c>
      <c r="E294">
        <v>2300463</v>
      </c>
      <c r="F294" s="1">
        <v>45216</v>
      </c>
      <c r="G294" s="1">
        <v>45223</v>
      </c>
      <c r="H294">
        <v>22</v>
      </c>
      <c r="I294">
        <v>125</v>
      </c>
      <c r="J294">
        <v>98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320</v>
      </c>
      <c r="S294">
        <v>0</v>
      </c>
      <c r="T294">
        <v>0</v>
      </c>
      <c r="U294">
        <v>0</v>
      </c>
      <c r="V294">
        <v>63</v>
      </c>
      <c r="W294">
        <v>16</v>
      </c>
      <c r="X294">
        <v>5</v>
      </c>
      <c r="Y294">
        <v>0</v>
      </c>
      <c r="Z294">
        <f>5*2.59</f>
        <v>12.95</v>
      </c>
      <c r="AA294">
        <v>0</v>
      </c>
      <c r="AB294">
        <f>86*2.59</f>
        <v>222.73999999999998</v>
      </c>
      <c r="AC294">
        <v>0</v>
      </c>
      <c r="AD294">
        <v>996</v>
      </c>
      <c r="AE294">
        <v>0</v>
      </c>
      <c r="AF294">
        <v>0</v>
      </c>
      <c r="AG294">
        <v>0</v>
      </c>
      <c r="AH294">
        <v>0</v>
      </c>
      <c r="AI294">
        <v>2</v>
      </c>
      <c r="AJ294">
        <v>0</v>
      </c>
      <c r="AK294">
        <f t="shared" si="5"/>
        <v>1882.69</v>
      </c>
      <c r="AO294">
        <v>2.59</v>
      </c>
    </row>
    <row r="295" spans="1:41" x14ac:dyDescent="0.3">
      <c r="A295">
        <v>624</v>
      </c>
      <c r="C295" t="s">
        <v>83</v>
      </c>
      <c r="D295" t="s">
        <v>7</v>
      </c>
      <c r="E295">
        <v>2300462</v>
      </c>
      <c r="F295" s="1">
        <v>45196</v>
      </c>
      <c r="G295" s="1">
        <v>45202</v>
      </c>
      <c r="H295">
        <v>0</v>
      </c>
      <c r="I295">
        <v>32</v>
      </c>
      <c r="J295">
        <v>499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472</v>
      </c>
      <c r="S295">
        <v>0</v>
      </c>
      <c r="T295">
        <v>0</v>
      </c>
      <c r="U295">
        <v>0</v>
      </c>
      <c r="V295">
        <v>382</v>
      </c>
      <c r="W295">
        <v>393</v>
      </c>
      <c r="X295">
        <v>463</v>
      </c>
      <c r="Y295">
        <v>0</v>
      </c>
      <c r="Z295">
        <f>7*2.59</f>
        <v>18.13</v>
      </c>
      <c r="AA295">
        <v>0</v>
      </c>
      <c r="AB295">
        <f>141*2.59</f>
        <v>365.19</v>
      </c>
      <c r="AC295">
        <v>0</v>
      </c>
      <c r="AD295">
        <v>1150</v>
      </c>
      <c r="AE295">
        <v>0</v>
      </c>
      <c r="AF295">
        <v>63</v>
      </c>
      <c r="AG295">
        <v>0</v>
      </c>
      <c r="AH295">
        <v>222</v>
      </c>
      <c r="AI295">
        <v>0</v>
      </c>
      <c r="AJ295">
        <v>0</v>
      </c>
      <c r="AK295">
        <f t="shared" si="5"/>
        <v>4067.32</v>
      </c>
      <c r="AO295">
        <v>2.59</v>
      </c>
    </row>
    <row r="296" spans="1:41" x14ac:dyDescent="0.3">
      <c r="A296">
        <v>627</v>
      </c>
      <c r="C296" t="s">
        <v>4</v>
      </c>
      <c r="D296" t="s">
        <v>7</v>
      </c>
      <c r="E296">
        <v>2300464</v>
      </c>
      <c r="F296" s="1">
        <v>45196</v>
      </c>
      <c r="G296" s="1">
        <v>45201</v>
      </c>
      <c r="H296">
        <v>18</v>
      </c>
      <c r="I296">
        <v>30</v>
      </c>
      <c r="J296">
        <v>2815</v>
      </c>
      <c r="K296">
        <v>27</v>
      </c>
      <c r="L296">
        <v>159</v>
      </c>
      <c r="M296">
        <v>3</v>
      </c>
      <c r="N296">
        <v>0</v>
      </c>
      <c r="O296">
        <v>56</v>
      </c>
      <c r="P296">
        <v>0</v>
      </c>
      <c r="Q296">
        <v>0</v>
      </c>
      <c r="R296">
        <v>1124</v>
      </c>
      <c r="S296">
        <v>0</v>
      </c>
      <c r="T296">
        <v>0</v>
      </c>
      <c r="U296">
        <v>0</v>
      </c>
      <c r="V296">
        <v>732</v>
      </c>
      <c r="W296">
        <v>335</v>
      </c>
      <c r="X296">
        <v>1519</v>
      </c>
      <c r="Y296">
        <v>0</v>
      </c>
      <c r="Z296">
        <f>3*2.59</f>
        <v>7.77</v>
      </c>
      <c r="AA296">
        <v>0</v>
      </c>
      <c r="AB296">
        <f>47*2.59</f>
        <v>121.72999999999999</v>
      </c>
      <c r="AC296">
        <v>0</v>
      </c>
      <c r="AD296">
        <v>116</v>
      </c>
      <c r="AE296">
        <v>0</v>
      </c>
      <c r="AF296">
        <v>372</v>
      </c>
      <c r="AG296">
        <v>0</v>
      </c>
      <c r="AH296">
        <v>280</v>
      </c>
      <c r="AI296">
        <v>5</v>
      </c>
      <c r="AJ296">
        <v>0</v>
      </c>
      <c r="AK296">
        <f t="shared" si="5"/>
        <v>7720.5</v>
      </c>
      <c r="AO296">
        <v>2.59</v>
      </c>
    </row>
    <row r="297" spans="1:41" x14ac:dyDescent="0.3">
      <c r="A297">
        <v>630</v>
      </c>
      <c r="C297" t="s">
        <v>4</v>
      </c>
      <c r="D297" t="s">
        <v>7</v>
      </c>
      <c r="E297">
        <v>2300464</v>
      </c>
      <c r="F297" s="1">
        <v>45202</v>
      </c>
      <c r="G297" s="1">
        <v>45205</v>
      </c>
      <c r="H297">
        <v>14</v>
      </c>
      <c r="I297">
        <v>25</v>
      </c>
      <c r="J297">
        <v>1137</v>
      </c>
      <c r="K297">
        <v>2</v>
      </c>
      <c r="L297">
        <v>136</v>
      </c>
      <c r="M297">
        <v>0</v>
      </c>
      <c r="N297">
        <v>0</v>
      </c>
      <c r="O297">
        <v>38</v>
      </c>
      <c r="P297">
        <v>0</v>
      </c>
      <c r="Q297">
        <v>0</v>
      </c>
      <c r="R297">
        <v>224</v>
      </c>
      <c r="S297">
        <v>0</v>
      </c>
      <c r="T297">
        <v>0</v>
      </c>
      <c r="U297">
        <v>0</v>
      </c>
      <c r="V297">
        <v>741</v>
      </c>
      <c r="W297">
        <v>319</v>
      </c>
      <c r="X297">
        <v>1030</v>
      </c>
      <c r="Y297">
        <v>0</v>
      </c>
      <c r="Z297">
        <f>1*2.59</f>
        <v>2.59</v>
      </c>
      <c r="AA297">
        <v>0</v>
      </c>
      <c r="AB297">
        <f>28*2.59</f>
        <v>72.52</v>
      </c>
      <c r="AC297">
        <v>0</v>
      </c>
      <c r="AD297">
        <v>300</v>
      </c>
      <c r="AE297">
        <v>0</v>
      </c>
      <c r="AF297">
        <v>239</v>
      </c>
      <c r="AG297">
        <v>0</v>
      </c>
      <c r="AH297">
        <v>125</v>
      </c>
      <c r="AI297">
        <v>12</v>
      </c>
      <c r="AJ297">
        <v>0</v>
      </c>
      <c r="AK297">
        <f t="shared" si="5"/>
        <v>4417.1100000000006</v>
      </c>
      <c r="AO297">
        <v>2.59</v>
      </c>
    </row>
    <row r="298" spans="1:41" x14ac:dyDescent="0.3">
      <c r="A298">
        <v>633</v>
      </c>
      <c r="C298" t="s">
        <v>4</v>
      </c>
      <c r="D298" t="s">
        <v>7</v>
      </c>
      <c r="E298">
        <v>2300464</v>
      </c>
      <c r="F298" s="1">
        <v>45217</v>
      </c>
      <c r="G298" s="1">
        <v>45223</v>
      </c>
      <c r="H298">
        <v>0</v>
      </c>
      <c r="I298">
        <v>19</v>
      </c>
      <c r="J298">
        <v>25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460</v>
      </c>
      <c r="S298">
        <v>0</v>
      </c>
      <c r="T298">
        <v>0</v>
      </c>
      <c r="U298">
        <v>0</v>
      </c>
      <c r="V298">
        <v>87</v>
      </c>
      <c r="W298">
        <v>0</v>
      </c>
      <c r="X298">
        <v>7</v>
      </c>
      <c r="Y298">
        <v>0</v>
      </c>
      <c r="Z298">
        <f>3*2.59</f>
        <v>7.77</v>
      </c>
      <c r="AA298">
        <v>0</v>
      </c>
      <c r="AB298">
        <f>51*2.59</f>
        <v>132.09</v>
      </c>
      <c r="AC298">
        <v>0</v>
      </c>
      <c r="AD298">
        <v>706</v>
      </c>
      <c r="AE298">
        <v>0</v>
      </c>
      <c r="AF298">
        <v>0</v>
      </c>
      <c r="AG298">
        <v>0</v>
      </c>
      <c r="AH298">
        <v>3</v>
      </c>
      <c r="AI298">
        <v>0</v>
      </c>
      <c r="AJ298">
        <v>0</v>
      </c>
      <c r="AK298">
        <f t="shared" si="5"/>
        <v>1446.8600000000001</v>
      </c>
      <c r="AO298">
        <v>2.59</v>
      </c>
    </row>
    <row r="299" spans="1:41" x14ac:dyDescent="0.3">
      <c r="A299">
        <v>636</v>
      </c>
      <c r="C299" t="s">
        <v>71</v>
      </c>
      <c r="D299" t="s">
        <v>7</v>
      </c>
      <c r="E299">
        <v>2300465</v>
      </c>
      <c r="F299" s="1">
        <v>45195</v>
      </c>
      <c r="G299" s="1">
        <v>45201</v>
      </c>
      <c r="H299">
        <v>24</v>
      </c>
      <c r="I299">
        <v>3</v>
      </c>
      <c r="J299">
        <v>12674</v>
      </c>
      <c r="K299">
        <v>78</v>
      </c>
      <c r="L299">
        <v>239</v>
      </c>
      <c r="M299">
        <v>279</v>
      </c>
      <c r="N299">
        <v>7</v>
      </c>
      <c r="O299">
        <v>79</v>
      </c>
      <c r="P299">
        <v>0</v>
      </c>
      <c r="Q299">
        <v>0</v>
      </c>
      <c r="R299">
        <v>1120</v>
      </c>
      <c r="S299">
        <v>0</v>
      </c>
      <c r="T299">
        <v>0</v>
      </c>
      <c r="U299">
        <v>0</v>
      </c>
      <c r="V299">
        <v>875</v>
      </c>
      <c r="W299">
        <v>33</v>
      </c>
      <c r="X299">
        <v>2722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462</v>
      </c>
      <c r="AE299">
        <v>0</v>
      </c>
      <c r="AF299">
        <v>276</v>
      </c>
      <c r="AG299">
        <v>0</v>
      </c>
      <c r="AH299">
        <v>838</v>
      </c>
      <c r="AI299">
        <v>0</v>
      </c>
      <c r="AJ299">
        <v>0</v>
      </c>
      <c r="AK299">
        <f t="shared" si="5"/>
        <v>19709</v>
      </c>
    </row>
    <row r="300" spans="1:41" x14ac:dyDescent="0.3">
      <c r="A300">
        <v>639</v>
      </c>
      <c r="C300" t="s">
        <v>71</v>
      </c>
      <c r="D300" t="s">
        <v>7</v>
      </c>
      <c r="E300">
        <v>2300465</v>
      </c>
      <c r="F300" s="1">
        <v>45201</v>
      </c>
      <c r="G300" s="1">
        <v>45209</v>
      </c>
      <c r="H300">
        <v>73</v>
      </c>
      <c r="I300">
        <v>0</v>
      </c>
      <c r="J300">
        <v>4143</v>
      </c>
      <c r="K300">
        <v>6</v>
      </c>
      <c r="L300">
        <v>149</v>
      </c>
      <c r="M300">
        <v>24</v>
      </c>
      <c r="N300">
        <v>2</v>
      </c>
      <c r="O300">
        <v>35</v>
      </c>
      <c r="P300">
        <v>0</v>
      </c>
      <c r="Q300">
        <v>0</v>
      </c>
      <c r="R300">
        <v>468</v>
      </c>
      <c r="S300">
        <v>0</v>
      </c>
      <c r="T300">
        <v>0</v>
      </c>
      <c r="U300">
        <v>0</v>
      </c>
      <c r="V300">
        <v>386</v>
      </c>
      <c r="W300">
        <v>78</v>
      </c>
      <c r="X300">
        <v>1454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238</v>
      </c>
      <c r="AE300">
        <v>0</v>
      </c>
      <c r="AF300">
        <v>299</v>
      </c>
      <c r="AG300">
        <v>0</v>
      </c>
      <c r="AH300">
        <v>79</v>
      </c>
      <c r="AI300">
        <v>0</v>
      </c>
      <c r="AJ300">
        <v>0</v>
      </c>
      <c r="AK300">
        <f t="shared" si="5"/>
        <v>7434</v>
      </c>
    </row>
    <row r="301" spans="1:41" x14ac:dyDescent="0.3">
      <c r="A301">
        <v>642</v>
      </c>
      <c r="C301" t="s">
        <v>71</v>
      </c>
      <c r="D301" t="s">
        <v>7</v>
      </c>
      <c r="E301">
        <v>2300465</v>
      </c>
      <c r="F301" s="1">
        <v>45209</v>
      </c>
      <c r="G301" s="1">
        <v>45582</v>
      </c>
      <c r="H301">
        <v>32</v>
      </c>
      <c r="I301">
        <v>2</v>
      </c>
      <c r="J301">
        <v>10987</v>
      </c>
      <c r="K301">
        <v>14</v>
      </c>
      <c r="L301">
        <v>158</v>
      </c>
      <c r="M301">
        <v>14</v>
      </c>
      <c r="N301">
        <v>0</v>
      </c>
      <c r="O301">
        <v>178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1086</v>
      </c>
      <c r="W301">
        <v>7</v>
      </c>
      <c r="X301">
        <v>1000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662</v>
      </c>
      <c r="AE301">
        <v>0</v>
      </c>
      <c r="AF301">
        <v>1135</v>
      </c>
      <c r="AG301">
        <v>0</v>
      </c>
      <c r="AH301">
        <v>68</v>
      </c>
      <c r="AI301">
        <v>0</v>
      </c>
      <c r="AJ301">
        <v>0</v>
      </c>
      <c r="AK301">
        <f t="shared" si="5"/>
        <v>15343</v>
      </c>
    </row>
    <row r="302" spans="1:41" x14ac:dyDescent="0.3">
      <c r="A302">
        <v>645</v>
      </c>
      <c r="C302" t="s">
        <v>71</v>
      </c>
      <c r="D302" t="s">
        <v>7</v>
      </c>
      <c r="E302">
        <v>2300465</v>
      </c>
      <c r="F302" s="1">
        <v>45216</v>
      </c>
      <c r="G302" s="1">
        <v>45223</v>
      </c>
      <c r="H302">
        <v>132</v>
      </c>
      <c r="I302">
        <v>0</v>
      </c>
      <c r="J302">
        <v>4377</v>
      </c>
      <c r="K302">
        <v>12</v>
      </c>
      <c r="L302">
        <v>314</v>
      </c>
      <c r="M302">
        <v>52</v>
      </c>
      <c r="N302">
        <v>43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248</v>
      </c>
      <c r="W302">
        <v>2</v>
      </c>
      <c r="X302">
        <v>2673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794</v>
      </c>
      <c r="AE302">
        <v>2</v>
      </c>
      <c r="AF302">
        <v>193</v>
      </c>
      <c r="AG302">
        <v>0</v>
      </c>
      <c r="AH302">
        <v>29</v>
      </c>
      <c r="AI302">
        <v>0</v>
      </c>
      <c r="AJ302">
        <v>0</v>
      </c>
      <c r="AK302">
        <f t="shared" si="5"/>
        <v>8871</v>
      </c>
    </row>
    <row r="303" spans="1:41" x14ac:dyDescent="0.3">
      <c r="A303">
        <v>648</v>
      </c>
      <c r="C303" t="s">
        <v>71</v>
      </c>
      <c r="D303" t="s">
        <v>7</v>
      </c>
      <c r="E303">
        <v>2300465</v>
      </c>
      <c r="F303" s="1">
        <v>45223</v>
      </c>
      <c r="G303" s="1">
        <v>45230</v>
      </c>
      <c r="H303">
        <v>82</v>
      </c>
      <c r="I303">
        <v>6</v>
      </c>
      <c r="J303">
        <v>4784</v>
      </c>
      <c r="K303">
        <v>8</v>
      </c>
      <c r="L303">
        <v>465</v>
      </c>
      <c r="M303">
        <v>76</v>
      </c>
      <c r="N303">
        <v>0</v>
      </c>
      <c r="O303">
        <v>152</v>
      </c>
      <c r="P303">
        <v>0</v>
      </c>
      <c r="Q303">
        <v>0</v>
      </c>
      <c r="R303">
        <v>904</v>
      </c>
      <c r="S303">
        <v>0</v>
      </c>
      <c r="T303">
        <v>0</v>
      </c>
      <c r="U303">
        <v>3</v>
      </c>
      <c r="V303">
        <v>1348</v>
      </c>
      <c r="W303">
        <v>64</v>
      </c>
      <c r="X303">
        <v>1334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964</v>
      </c>
      <c r="AE303">
        <v>0</v>
      </c>
      <c r="AF303">
        <v>686</v>
      </c>
      <c r="AG303">
        <v>0</v>
      </c>
      <c r="AH303">
        <v>290</v>
      </c>
      <c r="AI303">
        <v>0</v>
      </c>
      <c r="AJ303">
        <v>0</v>
      </c>
      <c r="AK303">
        <f t="shared" si="5"/>
        <v>11166</v>
      </c>
    </row>
    <row r="304" spans="1:41" x14ac:dyDescent="0.3">
      <c r="A304">
        <v>651</v>
      </c>
      <c r="C304" t="s">
        <v>71</v>
      </c>
      <c r="D304" t="s">
        <v>7</v>
      </c>
      <c r="E304">
        <v>2300465</v>
      </c>
      <c r="F304" s="1">
        <v>45169</v>
      </c>
      <c r="G304" s="1">
        <v>45175</v>
      </c>
      <c r="H304">
        <v>105</v>
      </c>
      <c r="I304">
        <v>3</v>
      </c>
      <c r="J304">
        <v>3151</v>
      </c>
      <c r="K304">
        <v>30</v>
      </c>
      <c r="L304">
        <v>1086</v>
      </c>
      <c r="M304">
        <v>224</v>
      </c>
      <c r="N304">
        <v>0</v>
      </c>
      <c r="O304">
        <v>0</v>
      </c>
      <c r="P304">
        <v>0</v>
      </c>
      <c r="Q304">
        <v>0</v>
      </c>
      <c r="R304">
        <v>320</v>
      </c>
      <c r="S304">
        <v>0</v>
      </c>
      <c r="T304">
        <v>0</v>
      </c>
      <c r="U304">
        <v>0</v>
      </c>
      <c r="V304">
        <v>435</v>
      </c>
      <c r="W304">
        <v>217</v>
      </c>
      <c r="X304">
        <v>8695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188</v>
      </c>
      <c r="AE304">
        <v>3</v>
      </c>
      <c r="AF304">
        <v>1305</v>
      </c>
      <c r="AG304">
        <v>0</v>
      </c>
      <c r="AH304">
        <v>149</v>
      </c>
      <c r="AI304">
        <v>164</v>
      </c>
      <c r="AJ304">
        <v>0</v>
      </c>
      <c r="AK304">
        <f t="shared" si="5"/>
        <v>16075</v>
      </c>
    </row>
    <row r="305" spans="1:41" x14ac:dyDescent="0.3">
      <c r="A305">
        <v>654</v>
      </c>
      <c r="C305" t="s">
        <v>71</v>
      </c>
      <c r="D305" t="s">
        <v>7</v>
      </c>
      <c r="E305">
        <v>2300465</v>
      </c>
      <c r="F305" s="1">
        <v>45175</v>
      </c>
      <c r="G305" s="1">
        <v>45183</v>
      </c>
      <c r="H305">
        <v>21</v>
      </c>
      <c r="I305">
        <v>1</v>
      </c>
      <c r="J305">
        <v>10121</v>
      </c>
      <c r="K305">
        <v>230</v>
      </c>
      <c r="L305">
        <v>387</v>
      </c>
      <c r="M305">
        <v>299</v>
      </c>
      <c r="N305">
        <v>0</v>
      </c>
      <c r="O305">
        <v>0</v>
      </c>
      <c r="P305">
        <v>0</v>
      </c>
      <c r="Q305">
        <v>0</v>
      </c>
      <c r="R305">
        <v>1016</v>
      </c>
      <c r="S305">
        <v>0</v>
      </c>
      <c r="T305">
        <v>0</v>
      </c>
      <c r="U305">
        <v>0</v>
      </c>
      <c r="V305">
        <v>875</v>
      </c>
      <c r="W305">
        <v>279</v>
      </c>
      <c r="X305">
        <v>2858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4206</v>
      </c>
      <c r="AE305">
        <v>0</v>
      </c>
      <c r="AF305">
        <v>193</v>
      </c>
      <c r="AG305">
        <v>0</v>
      </c>
      <c r="AH305">
        <v>49</v>
      </c>
      <c r="AI305">
        <v>168</v>
      </c>
      <c r="AJ305">
        <v>0</v>
      </c>
      <c r="AK305">
        <f t="shared" si="5"/>
        <v>20703</v>
      </c>
    </row>
    <row r="306" spans="1:41" x14ac:dyDescent="0.3">
      <c r="A306">
        <v>657</v>
      </c>
      <c r="C306" t="s">
        <v>71</v>
      </c>
      <c r="D306" t="s">
        <v>7</v>
      </c>
      <c r="E306">
        <v>2300465</v>
      </c>
      <c r="F306" s="1">
        <v>45186</v>
      </c>
      <c r="G306" s="1">
        <v>45194</v>
      </c>
      <c r="H306">
        <v>122</v>
      </c>
      <c r="I306">
        <v>0</v>
      </c>
      <c r="J306">
        <v>6872</v>
      </c>
      <c r="K306">
        <v>79</v>
      </c>
      <c r="L306">
        <v>97</v>
      </c>
      <c r="M306">
        <v>0</v>
      </c>
      <c r="N306">
        <v>0</v>
      </c>
      <c r="O306">
        <v>32</v>
      </c>
      <c r="P306">
        <v>0</v>
      </c>
      <c r="Q306">
        <v>0</v>
      </c>
      <c r="R306">
        <v>228</v>
      </c>
      <c r="S306">
        <v>0</v>
      </c>
      <c r="T306">
        <v>0</v>
      </c>
      <c r="U306">
        <v>0</v>
      </c>
      <c r="V306">
        <v>678</v>
      </c>
      <c r="W306">
        <v>143</v>
      </c>
      <c r="X306">
        <v>7871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644</v>
      </c>
      <c r="AE306">
        <v>0</v>
      </c>
      <c r="AF306">
        <v>303</v>
      </c>
      <c r="AG306">
        <v>0</v>
      </c>
      <c r="AH306">
        <v>1084</v>
      </c>
      <c r="AI306">
        <v>25</v>
      </c>
      <c r="AJ306">
        <v>0</v>
      </c>
      <c r="AK306">
        <f t="shared" si="5"/>
        <v>18178</v>
      </c>
    </row>
    <row r="307" spans="1:41" x14ac:dyDescent="0.3">
      <c r="A307">
        <v>660</v>
      </c>
      <c r="C307" t="s">
        <v>91</v>
      </c>
      <c r="D307" t="s">
        <v>7</v>
      </c>
      <c r="E307">
        <v>2300585</v>
      </c>
      <c r="F307" s="1">
        <v>45172</v>
      </c>
      <c r="G307" s="1">
        <v>45175</v>
      </c>
      <c r="H307">
        <v>7</v>
      </c>
      <c r="I307">
        <v>3</v>
      </c>
      <c r="J307">
        <v>134</v>
      </c>
      <c r="K307">
        <v>14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376</v>
      </c>
      <c r="S307">
        <v>0</v>
      </c>
      <c r="T307">
        <v>0</v>
      </c>
      <c r="U307">
        <v>0</v>
      </c>
      <c r="V307">
        <v>31</v>
      </c>
      <c r="W307">
        <v>100</v>
      </c>
      <c r="X307">
        <v>487</v>
      </c>
      <c r="Y307">
        <v>0</v>
      </c>
      <c r="Z307">
        <f>1*2.59</f>
        <v>2.59</v>
      </c>
      <c r="AA307">
        <v>0</v>
      </c>
      <c r="AB307">
        <f>12*2.59</f>
        <v>31.08</v>
      </c>
      <c r="AC307">
        <v>0</v>
      </c>
      <c r="AD307">
        <v>558</v>
      </c>
      <c r="AE307">
        <v>0</v>
      </c>
      <c r="AF307">
        <v>102</v>
      </c>
      <c r="AG307">
        <v>0</v>
      </c>
      <c r="AH307">
        <v>19</v>
      </c>
      <c r="AI307">
        <v>2</v>
      </c>
      <c r="AJ307">
        <v>0</v>
      </c>
      <c r="AK307">
        <f t="shared" si="5"/>
        <v>1867.6699999999998</v>
      </c>
      <c r="AO307">
        <v>2.59</v>
      </c>
    </row>
    <row r="308" spans="1:41" x14ac:dyDescent="0.3">
      <c r="A308">
        <v>663</v>
      </c>
      <c r="C308" t="s">
        <v>91</v>
      </c>
      <c r="D308" t="s">
        <v>7</v>
      </c>
      <c r="E308">
        <v>2300585</v>
      </c>
      <c r="F308" s="1">
        <v>45177</v>
      </c>
      <c r="G308" s="1">
        <v>45181</v>
      </c>
      <c r="H308">
        <v>174</v>
      </c>
      <c r="I308">
        <v>21</v>
      </c>
      <c r="J308">
        <v>291</v>
      </c>
      <c r="K308">
        <v>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144</v>
      </c>
      <c r="S308">
        <v>0</v>
      </c>
      <c r="T308">
        <v>0</v>
      </c>
      <c r="U308">
        <v>0</v>
      </c>
      <c r="V308">
        <v>88</v>
      </c>
      <c r="W308">
        <v>168</v>
      </c>
      <c r="X308">
        <v>636</v>
      </c>
      <c r="Y308">
        <v>0</v>
      </c>
      <c r="Z308">
        <f>2*2.59</f>
        <v>5.18</v>
      </c>
      <c r="AA308">
        <v>0</v>
      </c>
      <c r="AB308">
        <f>31*2.59</f>
        <v>80.289999999999992</v>
      </c>
      <c r="AC308">
        <v>0</v>
      </c>
      <c r="AD308">
        <v>618</v>
      </c>
      <c r="AE308">
        <v>0</v>
      </c>
      <c r="AF308">
        <v>97</v>
      </c>
      <c r="AG308">
        <v>0</v>
      </c>
      <c r="AH308">
        <v>20</v>
      </c>
      <c r="AI308">
        <v>20</v>
      </c>
      <c r="AJ308">
        <v>0</v>
      </c>
      <c r="AK308">
        <f t="shared" si="5"/>
        <v>2368.4700000000003</v>
      </c>
      <c r="AO308">
        <v>2.59</v>
      </c>
    </row>
    <row r="309" spans="1:41" x14ac:dyDescent="0.3">
      <c r="A309">
        <v>666</v>
      </c>
      <c r="C309" t="s">
        <v>91</v>
      </c>
      <c r="D309" t="s">
        <v>7</v>
      </c>
      <c r="E309">
        <v>2300585</v>
      </c>
      <c r="F309" s="1">
        <v>45181</v>
      </c>
      <c r="G309" s="1">
        <v>45184</v>
      </c>
      <c r="H309">
        <v>1</v>
      </c>
      <c r="I309">
        <v>42</v>
      </c>
      <c r="J309">
        <v>102</v>
      </c>
      <c r="K309">
        <v>3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336</v>
      </c>
      <c r="S309">
        <v>0</v>
      </c>
      <c r="T309">
        <v>0</v>
      </c>
      <c r="U309">
        <v>0</v>
      </c>
      <c r="V309">
        <v>83</v>
      </c>
      <c r="W309">
        <v>256</v>
      </c>
      <c r="X309">
        <v>89</v>
      </c>
      <c r="Y309">
        <v>0</v>
      </c>
      <c r="Z309">
        <f>2*2.59</f>
        <v>5.18</v>
      </c>
      <c r="AA309">
        <v>0</v>
      </c>
      <c r="AB309">
        <f>30*2.59</f>
        <v>77.699999999999989</v>
      </c>
      <c r="AC309">
        <v>0</v>
      </c>
      <c r="AD309">
        <v>482</v>
      </c>
      <c r="AE309">
        <v>0</v>
      </c>
      <c r="AF309">
        <v>227</v>
      </c>
      <c r="AG309">
        <v>0</v>
      </c>
      <c r="AH309">
        <v>18</v>
      </c>
      <c r="AI309">
        <v>1</v>
      </c>
      <c r="AJ309">
        <v>0</v>
      </c>
      <c r="AK309">
        <f t="shared" si="5"/>
        <v>1724.8799999999999</v>
      </c>
      <c r="AO309">
        <v>2.59</v>
      </c>
    </row>
    <row r="310" spans="1:41" x14ac:dyDescent="0.3">
      <c r="A310">
        <v>669</v>
      </c>
      <c r="C310" t="s">
        <v>91</v>
      </c>
      <c r="D310" t="s">
        <v>7</v>
      </c>
      <c r="E310">
        <v>2300585</v>
      </c>
      <c r="F310" s="1">
        <v>45189</v>
      </c>
      <c r="G310" s="1">
        <v>45195</v>
      </c>
      <c r="H310">
        <v>99</v>
      </c>
      <c r="I310">
        <v>40</v>
      </c>
      <c r="J310">
        <v>1117</v>
      </c>
      <c r="K310">
        <v>71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276</v>
      </c>
      <c r="S310">
        <v>0</v>
      </c>
      <c r="T310">
        <v>0</v>
      </c>
      <c r="U310">
        <v>0</v>
      </c>
      <c r="V310">
        <v>195</v>
      </c>
      <c r="W310">
        <v>47</v>
      </c>
      <c r="X310">
        <v>1554</v>
      </c>
      <c r="Y310">
        <v>0</v>
      </c>
      <c r="Z310">
        <v>0</v>
      </c>
      <c r="AA310">
        <v>0</v>
      </c>
      <c r="AB310">
        <f>6*2.59</f>
        <v>15.54</v>
      </c>
      <c r="AC310">
        <v>0</v>
      </c>
      <c r="AD310">
        <v>640</v>
      </c>
      <c r="AE310">
        <v>2</v>
      </c>
      <c r="AF310">
        <v>142</v>
      </c>
      <c r="AG310">
        <v>0</v>
      </c>
      <c r="AH310">
        <v>8</v>
      </c>
      <c r="AI310">
        <v>3</v>
      </c>
      <c r="AJ310">
        <v>0</v>
      </c>
      <c r="AK310">
        <f>SUM(H310:AJ310)</f>
        <v>4209.54</v>
      </c>
      <c r="AO310">
        <v>2.59</v>
      </c>
    </row>
    <row r="311" spans="1:41" x14ac:dyDescent="0.3">
      <c r="A311">
        <v>672</v>
      </c>
      <c r="C311" t="s">
        <v>79</v>
      </c>
      <c r="D311" t="s">
        <v>7</v>
      </c>
      <c r="E311">
        <v>2300598</v>
      </c>
      <c r="F311" s="1">
        <v>45168</v>
      </c>
      <c r="G311" s="1">
        <v>45175</v>
      </c>
      <c r="H311">
        <v>59</v>
      </c>
      <c r="I311">
        <v>0</v>
      </c>
      <c r="J311">
        <v>4843</v>
      </c>
      <c r="K311">
        <v>8729</v>
      </c>
      <c r="L311">
        <v>795</v>
      </c>
      <c r="M311">
        <v>437</v>
      </c>
      <c r="N311">
        <v>122</v>
      </c>
      <c r="O311">
        <v>240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228</v>
      </c>
      <c r="W311">
        <v>0</v>
      </c>
      <c r="X311">
        <v>1759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148</v>
      </c>
      <c r="AE311">
        <v>43</v>
      </c>
      <c r="AF311">
        <v>179</v>
      </c>
      <c r="AG311">
        <v>0</v>
      </c>
      <c r="AH311">
        <v>116</v>
      </c>
      <c r="AI311">
        <v>0</v>
      </c>
      <c r="AJ311">
        <v>0</v>
      </c>
      <c r="AK311">
        <f t="shared" si="5"/>
        <v>17698</v>
      </c>
      <c r="AO311">
        <v>2.59</v>
      </c>
    </row>
    <row r="312" spans="1:41" x14ac:dyDescent="0.3">
      <c r="A312">
        <v>675</v>
      </c>
      <c r="C312" t="s">
        <v>79</v>
      </c>
      <c r="D312" t="s">
        <v>7</v>
      </c>
      <c r="E312">
        <v>2300598</v>
      </c>
      <c r="F312" s="1">
        <v>45186</v>
      </c>
      <c r="G312" s="1">
        <v>45194</v>
      </c>
      <c r="H312">
        <v>175</v>
      </c>
      <c r="I312">
        <v>0</v>
      </c>
      <c r="J312">
        <v>11483</v>
      </c>
      <c r="K312">
        <v>1684</v>
      </c>
      <c r="L312">
        <v>830</v>
      </c>
      <c r="M312">
        <v>347</v>
      </c>
      <c r="N312">
        <v>16</v>
      </c>
      <c r="O312">
        <v>76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900</v>
      </c>
      <c r="W312">
        <v>1</v>
      </c>
      <c r="X312">
        <v>8442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3884</v>
      </c>
      <c r="AE312">
        <v>0</v>
      </c>
      <c r="AF312">
        <v>411</v>
      </c>
      <c r="AG312">
        <v>0</v>
      </c>
      <c r="AH312">
        <v>429</v>
      </c>
      <c r="AI312">
        <v>14</v>
      </c>
      <c r="AJ312">
        <v>0</v>
      </c>
      <c r="AK312">
        <f t="shared" si="5"/>
        <v>28692</v>
      </c>
      <c r="AO312">
        <v>2.59</v>
      </c>
    </row>
    <row r="313" spans="1:41" x14ac:dyDescent="0.3">
      <c r="A313">
        <v>678</v>
      </c>
      <c r="C313" t="s">
        <v>83</v>
      </c>
      <c r="D313" t="s">
        <v>7</v>
      </c>
      <c r="E313">
        <v>2300462</v>
      </c>
      <c r="F313" s="1">
        <v>45177</v>
      </c>
      <c r="G313" s="1">
        <v>45181</v>
      </c>
      <c r="H313">
        <v>2</v>
      </c>
      <c r="I313">
        <v>0</v>
      </c>
      <c r="J313">
        <v>26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88</v>
      </c>
      <c r="W313">
        <v>13</v>
      </c>
      <c r="X313">
        <v>12</v>
      </c>
      <c r="Y313">
        <v>0</v>
      </c>
      <c r="Z313">
        <v>0</v>
      </c>
      <c r="AA313">
        <v>0</v>
      </c>
      <c r="AB313">
        <f>1*2.59</f>
        <v>2.59</v>
      </c>
      <c r="AC313">
        <v>0</v>
      </c>
      <c r="AD313">
        <v>78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f t="shared" si="5"/>
        <v>224.59</v>
      </c>
      <c r="AO313">
        <v>2.59</v>
      </c>
    </row>
    <row r="314" spans="1:41" x14ac:dyDescent="0.3">
      <c r="A314">
        <v>681</v>
      </c>
      <c r="C314" t="s">
        <v>83</v>
      </c>
      <c r="D314" t="s">
        <v>7</v>
      </c>
      <c r="E314">
        <v>2300462</v>
      </c>
      <c r="F314" s="1">
        <v>45181</v>
      </c>
      <c r="G314" s="1">
        <v>45184</v>
      </c>
      <c r="H314">
        <v>0</v>
      </c>
      <c r="I314">
        <v>4</v>
      </c>
      <c r="J314">
        <v>187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252</v>
      </c>
      <c r="S314">
        <v>0</v>
      </c>
      <c r="T314">
        <v>0</v>
      </c>
      <c r="U314">
        <v>0</v>
      </c>
      <c r="V314">
        <v>60</v>
      </c>
      <c r="W314">
        <v>12</v>
      </c>
      <c r="X314">
        <v>10</v>
      </c>
      <c r="Y314">
        <v>0</v>
      </c>
      <c r="Z314">
        <f>1*2.59</f>
        <v>2.59</v>
      </c>
      <c r="AA314">
        <v>0</v>
      </c>
      <c r="AB314">
        <f>24*2.59</f>
        <v>62.16</v>
      </c>
      <c r="AC314">
        <v>0</v>
      </c>
      <c r="AD314">
        <v>450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f>SUM(H314:AJ314)</f>
        <v>1040.75</v>
      </c>
      <c r="AO314">
        <v>2.59</v>
      </c>
    </row>
    <row r="315" spans="1:41" x14ac:dyDescent="0.3">
      <c r="A315">
        <v>684</v>
      </c>
      <c r="C315" t="s">
        <v>83</v>
      </c>
      <c r="D315" t="s">
        <v>7</v>
      </c>
      <c r="E315">
        <v>2300462</v>
      </c>
      <c r="F315" s="1">
        <v>45190</v>
      </c>
      <c r="G315" s="1">
        <v>45195</v>
      </c>
      <c r="H315">
        <v>0</v>
      </c>
      <c r="I315">
        <v>6</v>
      </c>
      <c r="J315">
        <v>340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200</v>
      </c>
      <c r="S315">
        <v>0</v>
      </c>
      <c r="T315">
        <v>0</v>
      </c>
      <c r="U315">
        <v>0</v>
      </c>
      <c r="V315">
        <v>105</v>
      </c>
      <c r="W315">
        <v>71</v>
      </c>
      <c r="X315">
        <v>310</v>
      </c>
      <c r="Y315">
        <v>0</v>
      </c>
      <c r="Z315">
        <f>3*2.59</f>
        <v>7.77</v>
      </c>
      <c r="AA315">
        <v>0</v>
      </c>
      <c r="AB315">
        <f>54*2.59</f>
        <v>139.85999999999999</v>
      </c>
      <c r="AC315">
        <v>0</v>
      </c>
      <c r="AD315">
        <v>270</v>
      </c>
      <c r="AE315">
        <v>0</v>
      </c>
      <c r="AF315">
        <v>28</v>
      </c>
      <c r="AG315">
        <v>0</v>
      </c>
      <c r="AH315">
        <v>2</v>
      </c>
      <c r="AI315">
        <v>1</v>
      </c>
      <c r="AJ315">
        <v>0</v>
      </c>
      <c r="AK315">
        <f>SUM(H315:AJ315)</f>
        <v>1482.6299999999999</v>
      </c>
      <c r="AO315">
        <v>2.59</v>
      </c>
    </row>
    <row r="316" spans="1:41" x14ac:dyDescent="0.3">
      <c r="A316">
        <v>687</v>
      </c>
      <c r="C316" t="s">
        <v>4</v>
      </c>
      <c r="D316" t="s">
        <v>7</v>
      </c>
      <c r="E316">
        <v>2300464</v>
      </c>
      <c r="F316" s="1">
        <v>45165</v>
      </c>
      <c r="G316" s="1">
        <v>45173</v>
      </c>
      <c r="H316">
        <v>12</v>
      </c>
      <c r="I316">
        <v>56</v>
      </c>
      <c r="J316">
        <v>2437</v>
      </c>
      <c r="K316">
        <v>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2308</v>
      </c>
      <c r="S316">
        <v>0</v>
      </c>
      <c r="T316">
        <v>0</v>
      </c>
      <c r="U316">
        <v>0</v>
      </c>
      <c r="V316">
        <v>553</v>
      </c>
      <c r="W316">
        <v>245</v>
      </c>
      <c r="X316">
        <v>67</v>
      </c>
      <c r="Y316">
        <v>0</v>
      </c>
      <c r="Z316">
        <f>7*2.59</f>
        <v>18.13</v>
      </c>
      <c r="AA316">
        <v>0</v>
      </c>
      <c r="AB316">
        <f>141*2.59</f>
        <v>365.19</v>
      </c>
      <c r="AC316">
        <v>0</v>
      </c>
      <c r="AD316">
        <v>3592</v>
      </c>
      <c r="AE316">
        <v>0</v>
      </c>
      <c r="AF316">
        <v>22</v>
      </c>
      <c r="AG316">
        <v>0</v>
      </c>
      <c r="AH316">
        <v>2</v>
      </c>
      <c r="AI316">
        <v>4</v>
      </c>
      <c r="AJ316">
        <v>0</v>
      </c>
      <c r="AK316">
        <f t="shared" si="5"/>
        <v>9684.32</v>
      </c>
      <c r="AO316">
        <v>2.59</v>
      </c>
    </row>
    <row r="317" spans="1:41" x14ac:dyDescent="0.3">
      <c r="A317">
        <v>690</v>
      </c>
      <c r="C317" t="s">
        <v>4</v>
      </c>
      <c r="D317" t="s">
        <v>7</v>
      </c>
      <c r="E317">
        <v>2300464</v>
      </c>
      <c r="F317" s="1">
        <v>45177</v>
      </c>
      <c r="G317" s="1">
        <v>45181</v>
      </c>
      <c r="H317">
        <v>4</v>
      </c>
      <c r="I317">
        <v>33</v>
      </c>
      <c r="J317">
        <v>111</v>
      </c>
      <c r="K317">
        <v>11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660</v>
      </c>
      <c r="S317">
        <v>0</v>
      </c>
      <c r="T317">
        <v>0</v>
      </c>
      <c r="U317">
        <v>0</v>
      </c>
      <c r="V317">
        <v>76</v>
      </c>
      <c r="W317">
        <v>31</v>
      </c>
      <c r="X317">
        <v>179</v>
      </c>
      <c r="Y317">
        <v>0</v>
      </c>
      <c r="Z317">
        <f>2*2.59</f>
        <v>5.18</v>
      </c>
      <c r="AA317">
        <v>0</v>
      </c>
      <c r="AB317">
        <f>30*2.59</f>
        <v>77.699999999999989</v>
      </c>
      <c r="AC317">
        <v>0</v>
      </c>
      <c r="AD317">
        <v>482</v>
      </c>
      <c r="AE317">
        <v>0</v>
      </c>
      <c r="AF317">
        <v>33</v>
      </c>
      <c r="AG317">
        <v>0</v>
      </c>
      <c r="AH317">
        <v>9</v>
      </c>
      <c r="AI317">
        <v>6</v>
      </c>
      <c r="AJ317">
        <v>0</v>
      </c>
      <c r="AK317">
        <f t="shared" si="5"/>
        <v>1717.88</v>
      </c>
      <c r="AO317">
        <v>2.59</v>
      </c>
    </row>
    <row r="318" spans="1:41" x14ac:dyDescent="0.3">
      <c r="A318">
        <v>693</v>
      </c>
      <c r="C318" t="s">
        <v>4</v>
      </c>
      <c r="D318" t="s">
        <v>7</v>
      </c>
      <c r="E318">
        <v>2300464</v>
      </c>
      <c r="F318" s="1">
        <v>45181</v>
      </c>
      <c r="G318" s="1">
        <v>45184</v>
      </c>
      <c r="H318">
        <v>0</v>
      </c>
      <c r="I318">
        <v>7</v>
      </c>
      <c r="J318">
        <v>111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452</v>
      </c>
      <c r="S318">
        <v>0</v>
      </c>
      <c r="T318">
        <v>0</v>
      </c>
      <c r="U318">
        <v>0</v>
      </c>
      <c r="V318">
        <v>53</v>
      </c>
      <c r="W318">
        <v>25</v>
      </c>
      <c r="X318">
        <v>67</v>
      </c>
      <c r="Y318">
        <v>0</v>
      </c>
      <c r="Z318">
        <f>2*2.59</f>
        <v>5.18</v>
      </c>
      <c r="AA318">
        <v>0</v>
      </c>
      <c r="AB318">
        <f>30*2.59</f>
        <v>77.699999999999989</v>
      </c>
      <c r="AC318">
        <v>0</v>
      </c>
      <c r="AD318">
        <v>1266</v>
      </c>
      <c r="AE318">
        <v>0</v>
      </c>
      <c r="AF318">
        <v>17</v>
      </c>
      <c r="AG318">
        <v>0</v>
      </c>
      <c r="AH318">
        <v>0</v>
      </c>
      <c r="AI318">
        <v>1</v>
      </c>
      <c r="AJ318">
        <v>0</v>
      </c>
      <c r="AK318">
        <f t="shared" si="5"/>
        <v>2081.88</v>
      </c>
      <c r="AO318">
        <v>2.59</v>
      </c>
    </row>
    <row r="319" spans="1:41" x14ac:dyDescent="0.3">
      <c r="A319">
        <v>696</v>
      </c>
      <c r="C319" t="s">
        <v>4</v>
      </c>
      <c r="D319" t="s">
        <v>7</v>
      </c>
      <c r="E319">
        <v>2300464</v>
      </c>
      <c r="F319" s="1">
        <v>45189</v>
      </c>
      <c r="G319" s="1">
        <v>45196</v>
      </c>
      <c r="H319">
        <v>104</v>
      </c>
      <c r="I319">
        <v>12</v>
      </c>
      <c r="J319">
        <v>2421</v>
      </c>
      <c r="K319">
        <v>135</v>
      </c>
      <c r="L319">
        <v>7</v>
      </c>
      <c r="M319">
        <v>7</v>
      </c>
      <c r="N319">
        <v>0</v>
      </c>
      <c r="O319">
        <v>4</v>
      </c>
      <c r="P319">
        <v>0</v>
      </c>
      <c r="Q319">
        <v>0</v>
      </c>
      <c r="R319">
        <v>524</v>
      </c>
      <c r="S319">
        <v>0</v>
      </c>
      <c r="T319">
        <v>0</v>
      </c>
      <c r="U319">
        <v>0</v>
      </c>
      <c r="V319">
        <v>364</v>
      </c>
      <c r="W319">
        <v>74</v>
      </c>
      <c r="X319">
        <v>2864</v>
      </c>
      <c r="Y319">
        <v>0</v>
      </c>
      <c r="Z319">
        <v>0</v>
      </c>
      <c r="AA319">
        <v>0</v>
      </c>
      <c r="AB319">
        <f>4*2.59</f>
        <v>10.36</v>
      </c>
      <c r="AC319">
        <v>0</v>
      </c>
      <c r="AD319">
        <v>844</v>
      </c>
      <c r="AE319">
        <v>4</v>
      </c>
      <c r="AF319">
        <v>86</v>
      </c>
      <c r="AG319">
        <v>0</v>
      </c>
      <c r="AH319">
        <v>294</v>
      </c>
      <c r="AI319">
        <v>5</v>
      </c>
      <c r="AJ319">
        <v>0</v>
      </c>
      <c r="AK319">
        <f t="shared" si="5"/>
        <v>7759.36</v>
      </c>
      <c r="AO319">
        <v>2.59</v>
      </c>
    </row>
    <row r="320" spans="1:41" x14ac:dyDescent="0.3">
      <c r="A320">
        <v>699</v>
      </c>
      <c r="C320" t="s">
        <v>78</v>
      </c>
      <c r="D320" t="s">
        <v>7</v>
      </c>
      <c r="E320">
        <v>2300463</v>
      </c>
      <c r="F320" s="1">
        <v>45165</v>
      </c>
      <c r="G320" s="1">
        <v>45173</v>
      </c>
      <c r="H320">
        <v>14</v>
      </c>
      <c r="I320">
        <v>54</v>
      </c>
      <c r="J320">
        <v>2689</v>
      </c>
      <c r="K320">
        <v>12</v>
      </c>
      <c r="L320">
        <v>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880</v>
      </c>
      <c r="S320">
        <v>0</v>
      </c>
      <c r="T320">
        <v>0</v>
      </c>
      <c r="U320">
        <v>0</v>
      </c>
      <c r="V320">
        <v>602</v>
      </c>
      <c r="W320">
        <v>736</v>
      </c>
      <c r="X320">
        <v>718</v>
      </c>
      <c r="Y320">
        <v>0</v>
      </c>
      <c r="Z320">
        <f>10*2.59</f>
        <v>25.9</v>
      </c>
      <c r="AA320">
        <v>0</v>
      </c>
      <c r="AB320">
        <f>188*2.59</f>
        <v>486.91999999999996</v>
      </c>
      <c r="AC320">
        <v>0</v>
      </c>
      <c r="AD320">
        <v>2238</v>
      </c>
      <c r="AE320">
        <v>2</v>
      </c>
      <c r="AF320">
        <v>136</v>
      </c>
      <c r="AG320">
        <v>0</v>
      </c>
      <c r="AH320">
        <v>36</v>
      </c>
      <c r="AI320">
        <v>39</v>
      </c>
      <c r="AJ320">
        <v>0</v>
      </c>
      <c r="AK320">
        <f t="shared" si="5"/>
        <v>8675.82</v>
      </c>
      <c r="AO320">
        <v>2.59</v>
      </c>
    </row>
    <row r="321" spans="1:41" x14ac:dyDescent="0.3">
      <c r="A321">
        <v>702</v>
      </c>
      <c r="C321" t="s">
        <v>78</v>
      </c>
      <c r="D321" t="s">
        <v>7</v>
      </c>
      <c r="E321">
        <v>2300463</v>
      </c>
      <c r="F321" s="1">
        <v>45177</v>
      </c>
      <c r="G321" s="1">
        <v>45184</v>
      </c>
      <c r="H321">
        <v>1</v>
      </c>
      <c r="I321">
        <v>229</v>
      </c>
      <c r="J321">
        <v>1064</v>
      </c>
      <c r="K321">
        <v>21</v>
      </c>
      <c r="L321">
        <v>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608</v>
      </c>
      <c r="S321">
        <v>0</v>
      </c>
      <c r="T321">
        <v>0</v>
      </c>
      <c r="U321">
        <v>0</v>
      </c>
      <c r="V321">
        <v>217</v>
      </c>
      <c r="W321">
        <v>245</v>
      </c>
      <c r="X321">
        <v>211</v>
      </c>
      <c r="Y321">
        <v>0</v>
      </c>
      <c r="Z321">
        <f>6*2.59</f>
        <v>15.54</v>
      </c>
      <c r="AA321">
        <v>0</v>
      </c>
      <c r="AB321">
        <f>108*2.59</f>
        <v>279.71999999999997</v>
      </c>
      <c r="AC321">
        <v>0</v>
      </c>
      <c r="AD321">
        <v>1594</v>
      </c>
      <c r="AE321">
        <v>0</v>
      </c>
      <c r="AF321">
        <v>27</v>
      </c>
      <c r="AG321">
        <v>0</v>
      </c>
      <c r="AH321">
        <v>38</v>
      </c>
      <c r="AI321">
        <v>6</v>
      </c>
      <c r="AJ321">
        <v>0</v>
      </c>
      <c r="AK321">
        <f t="shared" si="5"/>
        <v>4561.26</v>
      </c>
      <c r="AO321">
        <v>2.59</v>
      </c>
    </row>
    <row r="322" spans="1:41" x14ac:dyDescent="0.3">
      <c r="A322">
        <v>705</v>
      </c>
      <c r="C322" t="s">
        <v>78</v>
      </c>
      <c r="D322" t="s">
        <v>7</v>
      </c>
      <c r="E322">
        <v>2300463</v>
      </c>
      <c r="F322" s="1">
        <v>45190</v>
      </c>
      <c r="G322" s="1">
        <v>45198</v>
      </c>
      <c r="H322">
        <v>3</v>
      </c>
      <c r="I322">
        <v>254</v>
      </c>
      <c r="J322">
        <v>558</v>
      </c>
      <c r="K322">
        <v>144</v>
      </c>
      <c r="L322">
        <v>64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460</v>
      </c>
      <c r="S322">
        <v>0</v>
      </c>
      <c r="T322">
        <v>0</v>
      </c>
      <c r="U322">
        <v>0</v>
      </c>
      <c r="V322">
        <v>623</v>
      </c>
      <c r="W322">
        <v>830</v>
      </c>
      <c r="X322">
        <v>1706</v>
      </c>
      <c r="Y322">
        <v>0</v>
      </c>
      <c r="Z322">
        <f>2*2.59</f>
        <v>5.18</v>
      </c>
      <c r="AA322">
        <v>0</v>
      </c>
      <c r="AB322">
        <f>35*2.59</f>
        <v>90.649999999999991</v>
      </c>
      <c r="AC322">
        <v>0</v>
      </c>
      <c r="AD322">
        <v>670</v>
      </c>
      <c r="AE322">
        <v>0</v>
      </c>
      <c r="AF322">
        <v>200</v>
      </c>
      <c r="AG322">
        <v>0</v>
      </c>
      <c r="AH322">
        <v>107</v>
      </c>
      <c r="AI322">
        <v>14</v>
      </c>
      <c r="AJ322">
        <v>0</v>
      </c>
      <c r="AK322">
        <f t="shared" si="5"/>
        <v>5728.83</v>
      </c>
      <c r="AO322">
        <v>2.59</v>
      </c>
    </row>
    <row r="323" spans="1:41" x14ac:dyDescent="0.3">
      <c r="A323">
        <v>708</v>
      </c>
      <c r="C323" t="s">
        <v>74</v>
      </c>
      <c r="D323" t="s">
        <v>7</v>
      </c>
      <c r="E323">
        <v>2300514</v>
      </c>
      <c r="F323" s="1">
        <v>45164</v>
      </c>
      <c r="G323" s="1">
        <v>45173</v>
      </c>
      <c r="H323">
        <v>27</v>
      </c>
      <c r="I323">
        <v>1</v>
      </c>
      <c r="J323">
        <v>7033</v>
      </c>
      <c r="K323">
        <v>499</v>
      </c>
      <c r="L323">
        <v>140</v>
      </c>
      <c r="M323">
        <v>925</v>
      </c>
      <c r="N323">
        <v>0</v>
      </c>
      <c r="O323">
        <v>0</v>
      </c>
      <c r="P323">
        <v>0</v>
      </c>
      <c r="Q323">
        <v>0</v>
      </c>
      <c r="R323">
        <v>332</v>
      </c>
      <c r="S323">
        <v>0</v>
      </c>
      <c r="T323">
        <v>0</v>
      </c>
      <c r="U323">
        <v>0</v>
      </c>
      <c r="V323">
        <v>766</v>
      </c>
      <c r="W323">
        <v>47</v>
      </c>
      <c r="X323">
        <v>662</v>
      </c>
      <c r="Y323">
        <v>0</v>
      </c>
      <c r="Z323">
        <f>1*2.59</f>
        <v>2.59</v>
      </c>
      <c r="AA323">
        <v>0</v>
      </c>
      <c r="AB323">
        <f>26*2.59</f>
        <v>67.34</v>
      </c>
      <c r="AC323">
        <v>0</v>
      </c>
      <c r="AD323">
        <v>1458</v>
      </c>
      <c r="AE323">
        <v>13</v>
      </c>
      <c r="AF323">
        <v>109</v>
      </c>
      <c r="AG323">
        <v>0</v>
      </c>
      <c r="AH323">
        <v>63</v>
      </c>
      <c r="AI323">
        <v>0</v>
      </c>
      <c r="AJ323">
        <v>0</v>
      </c>
      <c r="AK323">
        <f t="shared" si="5"/>
        <v>12144.93</v>
      </c>
      <c r="AO323">
        <v>2.59</v>
      </c>
    </row>
    <row r="324" spans="1:41" x14ac:dyDescent="0.3">
      <c r="A324">
        <v>711</v>
      </c>
      <c r="C324" t="s">
        <v>74</v>
      </c>
      <c r="D324" t="s">
        <v>7</v>
      </c>
      <c r="E324">
        <v>2300514</v>
      </c>
      <c r="F324" s="1">
        <v>45176</v>
      </c>
      <c r="G324" s="1">
        <v>45183</v>
      </c>
      <c r="H324">
        <v>69</v>
      </c>
      <c r="I324">
        <v>43</v>
      </c>
      <c r="J324">
        <v>3393</v>
      </c>
      <c r="K324">
        <v>254</v>
      </c>
      <c r="L324">
        <v>477</v>
      </c>
      <c r="M324">
        <v>0</v>
      </c>
      <c r="N324">
        <v>0</v>
      </c>
      <c r="O324">
        <v>4</v>
      </c>
      <c r="P324">
        <v>0</v>
      </c>
      <c r="Q324">
        <v>0</v>
      </c>
      <c r="R324">
        <v>688</v>
      </c>
      <c r="S324">
        <v>0</v>
      </c>
      <c r="T324">
        <v>0</v>
      </c>
      <c r="U324">
        <v>0</v>
      </c>
      <c r="V324">
        <v>815</v>
      </c>
      <c r="W324">
        <v>193</v>
      </c>
      <c r="X324">
        <v>3415</v>
      </c>
      <c r="Y324">
        <v>0</v>
      </c>
      <c r="Z324">
        <f>8*2.59</f>
        <v>20.72</v>
      </c>
      <c r="AA324">
        <v>0</v>
      </c>
      <c r="AB324">
        <f>151*2.59</f>
        <v>391.09</v>
      </c>
      <c r="AC324">
        <v>0</v>
      </c>
      <c r="AD324">
        <v>964</v>
      </c>
      <c r="AE324">
        <v>2</v>
      </c>
      <c r="AF324">
        <v>182</v>
      </c>
      <c r="AG324">
        <v>0</v>
      </c>
      <c r="AH324">
        <v>73</v>
      </c>
      <c r="AI324">
        <v>95</v>
      </c>
      <c r="AJ324">
        <v>0</v>
      </c>
      <c r="AK324">
        <f t="shared" si="5"/>
        <v>11078.81</v>
      </c>
      <c r="AO324">
        <v>2.59</v>
      </c>
    </row>
    <row r="325" spans="1:41" x14ac:dyDescent="0.3">
      <c r="A325">
        <v>714</v>
      </c>
      <c r="C325" t="s">
        <v>74</v>
      </c>
      <c r="D325" t="s">
        <v>7</v>
      </c>
      <c r="E325">
        <v>2300514</v>
      </c>
      <c r="F325" s="1">
        <v>45189</v>
      </c>
      <c r="G325" s="1">
        <v>45196</v>
      </c>
      <c r="H325">
        <v>93</v>
      </c>
      <c r="I325">
        <v>37</v>
      </c>
      <c r="J325">
        <v>5414</v>
      </c>
      <c r="K325">
        <v>207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280</v>
      </c>
      <c r="S325">
        <v>0</v>
      </c>
      <c r="T325">
        <v>0</v>
      </c>
      <c r="U325">
        <v>0</v>
      </c>
      <c r="V325">
        <v>728</v>
      </c>
      <c r="W325">
        <v>31</v>
      </c>
      <c r="X325">
        <v>4333</v>
      </c>
      <c r="Y325">
        <v>0</v>
      </c>
      <c r="Z325">
        <v>2.59</v>
      </c>
      <c r="AA325">
        <v>0</v>
      </c>
      <c r="AB325">
        <f>13*2.59</f>
        <v>33.67</v>
      </c>
      <c r="AC325">
        <v>0</v>
      </c>
      <c r="AD325">
        <v>1248</v>
      </c>
      <c r="AE325">
        <v>0</v>
      </c>
      <c r="AF325">
        <v>237</v>
      </c>
      <c r="AG325">
        <v>0</v>
      </c>
      <c r="AH325">
        <v>126</v>
      </c>
      <c r="AI325">
        <v>7</v>
      </c>
      <c r="AJ325">
        <v>0</v>
      </c>
      <c r="AK325">
        <f t="shared" si="5"/>
        <v>12783.26</v>
      </c>
      <c r="AO325">
        <v>2.59</v>
      </c>
    </row>
    <row r="326" spans="1:41" x14ac:dyDescent="0.3">
      <c r="A326">
        <v>717</v>
      </c>
      <c r="C326" t="s">
        <v>74</v>
      </c>
      <c r="D326" t="s">
        <v>7</v>
      </c>
      <c r="E326">
        <v>2300514</v>
      </c>
      <c r="F326" s="1">
        <v>45138</v>
      </c>
      <c r="G326" s="1">
        <v>45146</v>
      </c>
      <c r="H326">
        <v>66</v>
      </c>
      <c r="I326">
        <v>0</v>
      </c>
      <c r="J326">
        <v>10635</v>
      </c>
      <c r="K326">
        <v>33</v>
      </c>
      <c r="L326">
        <v>229</v>
      </c>
      <c r="M326">
        <v>10</v>
      </c>
      <c r="N326">
        <v>0</v>
      </c>
      <c r="O326">
        <v>0</v>
      </c>
      <c r="P326">
        <v>0</v>
      </c>
      <c r="Q326">
        <v>0</v>
      </c>
      <c r="R326">
        <v>52</v>
      </c>
      <c r="S326">
        <v>0</v>
      </c>
      <c r="T326">
        <v>0</v>
      </c>
      <c r="U326">
        <v>0</v>
      </c>
      <c r="V326">
        <v>1144</v>
      </c>
      <c r="W326">
        <v>0</v>
      </c>
      <c r="X326">
        <v>5195</v>
      </c>
      <c r="Y326">
        <v>0</v>
      </c>
      <c r="Z326">
        <v>0</v>
      </c>
      <c r="AA326">
        <v>0</v>
      </c>
      <c r="AB326">
        <f>2.59*8</f>
        <v>20.72</v>
      </c>
      <c r="AC326">
        <v>0</v>
      </c>
      <c r="AD326">
        <v>248</v>
      </c>
      <c r="AE326">
        <v>0</v>
      </c>
      <c r="AF326">
        <v>120</v>
      </c>
      <c r="AG326">
        <v>0</v>
      </c>
      <c r="AH326">
        <v>84</v>
      </c>
      <c r="AI326">
        <v>0</v>
      </c>
      <c r="AJ326">
        <v>0</v>
      </c>
      <c r="AK326">
        <f t="shared" si="5"/>
        <v>17836.72</v>
      </c>
      <c r="AO326">
        <v>2.59</v>
      </c>
    </row>
    <row r="327" spans="1:41" x14ac:dyDescent="0.3">
      <c r="A327">
        <v>720</v>
      </c>
      <c r="C327" t="s">
        <v>74</v>
      </c>
      <c r="D327" t="s">
        <v>7</v>
      </c>
      <c r="E327">
        <v>2300514</v>
      </c>
      <c r="F327" s="1">
        <v>45146</v>
      </c>
      <c r="G327" s="1">
        <v>45152</v>
      </c>
      <c r="H327">
        <v>4</v>
      </c>
      <c r="I327">
        <v>47</v>
      </c>
      <c r="J327">
        <v>9077</v>
      </c>
      <c r="K327">
        <v>106</v>
      </c>
      <c r="L327">
        <v>873</v>
      </c>
      <c r="M327">
        <v>3</v>
      </c>
      <c r="N327">
        <v>4</v>
      </c>
      <c r="O327">
        <v>47</v>
      </c>
      <c r="P327">
        <v>0</v>
      </c>
      <c r="Q327">
        <v>0</v>
      </c>
      <c r="R327">
        <v>1148</v>
      </c>
      <c r="S327">
        <v>0</v>
      </c>
      <c r="T327">
        <v>0</v>
      </c>
      <c r="U327">
        <v>0</v>
      </c>
      <c r="V327">
        <v>809</v>
      </c>
      <c r="W327">
        <v>143</v>
      </c>
      <c r="X327">
        <v>3202</v>
      </c>
      <c r="Y327">
        <v>0</v>
      </c>
      <c r="Z327">
        <v>0</v>
      </c>
      <c r="AA327">
        <v>0</v>
      </c>
      <c r="AB327">
        <f>3*2.59</f>
        <v>7.77</v>
      </c>
      <c r="AC327">
        <v>0</v>
      </c>
      <c r="AD327">
        <v>1216</v>
      </c>
      <c r="AE327">
        <v>1</v>
      </c>
      <c r="AF327">
        <v>767</v>
      </c>
      <c r="AG327">
        <v>0</v>
      </c>
      <c r="AH327">
        <v>335</v>
      </c>
      <c r="AI327">
        <v>28</v>
      </c>
      <c r="AJ327">
        <v>0</v>
      </c>
      <c r="AK327">
        <f t="shared" si="5"/>
        <v>17817.77</v>
      </c>
      <c r="AO327">
        <v>2.59</v>
      </c>
    </row>
    <row r="328" spans="1:41" x14ac:dyDescent="0.3">
      <c r="A328">
        <v>723</v>
      </c>
      <c r="C328" t="s">
        <v>74</v>
      </c>
      <c r="D328" t="s">
        <v>7</v>
      </c>
      <c r="E328">
        <v>2300514</v>
      </c>
      <c r="F328" s="1">
        <v>45153</v>
      </c>
      <c r="G328" s="1">
        <v>45159</v>
      </c>
      <c r="H328">
        <v>49</v>
      </c>
      <c r="I328">
        <v>6</v>
      </c>
      <c r="J328">
        <v>5123</v>
      </c>
      <c r="K328">
        <v>8</v>
      </c>
      <c r="L328">
        <v>6</v>
      </c>
      <c r="M328">
        <v>7</v>
      </c>
      <c r="N328">
        <v>0</v>
      </c>
      <c r="O328">
        <v>0</v>
      </c>
      <c r="P328">
        <v>0</v>
      </c>
      <c r="Q328">
        <v>0</v>
      </c>
      <c r="R328">
        <v>644</v>
      </c>
      <c r="S328">
        <v>0</v>
      </c>
      <c r="T328">
        <v>0</v>
      </c>
      <c r="U328">
        <v>0</v>
      </c>
      <c r="V328">
        <v>966</v>
      </c>
      <c r="W328">
        <v>98</v>
      </c>
      <c r="X328">
        <v>2845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3536</v>
      </c>
      <c r="AE328">
        <v>1</v>
      </c>
      <c r="AF328">
        <v>118</v>
      </c>
      <c r="AG328">
        <v>0</v>
      </c>
      <c r="AH328">
        <v>8</v>
      </c>
      <c r="AI328">
        <v>1</v>
      </c>
      <c r="AJ328">
        <v>0</v>
      </c>
      <c r="AK328">
        <f t="shared" si="5"/>
        <v>13416</v>
      </c>
      <c r="AO328">
        <v>2.59</v>
      </c>
    </row>
    <row r="329" spans="1:41" x14ac:dyDescent="0.3">
      <c r="A329">
        <v>726</v>
      </c>
      <c r="C329" t="s">
        <v>39</v>
      </c>
      <c r="D329" t="s">
        <v>7</v>
      </c>
      <c r="E329">
        <v>2300647</v>
      </c>
      <c r="F329" s="1">
        <v>45133</v>
      </c>
      <c r="G329" s="1">
        <v>45138</v>
      </c>
      <c r="H329">
        <v>66</v>
      </c>
      <c r="I329">
        <v>0</v>
      </c>
      <c r="J329">
        <v>5799</v>
      </c>
      <c r="K329">
        <v>73</v>
      </c>
      <c r="L329">
        <v>16</v>
      </c>
      <c r="M329">
        <v>7</v>
      </c>
      <c r="N329">
        <v>0</v>
      </c>
      <c r="O329">
        <v>0</v>
      </c>
      <c r="P329">
        <v>0</v>
      </c>
      <c r="Q329">
        <v>0</v>
      </c>
      <c r="R329">
        <v>28</v>
      </c>
      <c r="S329">
        <v>0</v>
      </c>
      <c r="T329">
        <v>3</v>
      </c>
      <c r="U329">
        <v>3</v>
      </c>
      <c r="V329">
        <v>462</v>
      </c>
      <c r="W329">
        <v>0</v>
      </c>
      <c r="X329">
        <v>4628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180</v>
      </c>
      <c r="AE329">
        <v>0</v>
      </c>
      <c r="AF329">
        <v>33</v>
      </c>
      <c r="AG329">
        <v>0</v>
      </c>
      <c r="AH329">
        <v>136</v>
      </c>
      <c r="AI329">
        <v>0</v>
      </c>
      <c r="AJ329">
        <v>0</v>
      </c>
      <c r="AK329">
        <f t="shared" si="5"/>
        <v>11434</v>
      </c>
      <c r="AO329">
        <v>2.59</v>
      </c>
    </row>
    <row r="330" spans="1:41" x14ac:dyDescent="0.3">
      <c r="A330">
        <v>729</v>
      </c>
      <c r="C330" t="s">
        <v>39</v>
      </c>
      <c r="D330" t="s">
        <v>7</v>
      </c>
      <c r="E330">
        <v>2300647</v>
      </c>
      <c r="F330" s="1">
        <v>45138</v>
      </c>
      <c r="G330" s="1">
        <v>45145</v>
      </c>
      <c r="H330">
        <v>93</v>
      </c>
      <c r="I330">
        <v>26</v>
      </c>
      <c r="J330">
        <v>9064</v>
      </c>
      <c r="K330">
        <v>55</v>
      </c>
      <c r="L330">
        <v>62</v>
      </c>
      <c r="M330">
        <v>10</v>
      </c>
      <c r="N330">
        <v>0</v>
      </c>
      <c r="O330">
        <v>61</v>
      </c>
      <c r="P330">
        <v>0</v>
      </c>
      <c r="Q330">
        <v>0</v>
      </c>
      <c r="R330">
        <v>100</v>
      </c>
      <c r="S330">
        <v>0</v>
      </c>
      <c r="T330">
        <v>1</v>
      </c>
      <c r="U330">
        <v>0</v>
      </c>
      <c r="V330">
        <v>1240</v>
      </c>
      <c r="W330">
        <v>12</v>
      </c>
      <c r="X330">
        <v>7577</v>
      </c>
      <c r="Y330">
        <v>0</v>
      </c>
      <c r="Z330">
        <v>0</v>
      </c>
      <c r="AA330">
        <v>0</v>
      </c>
      <c r="AB330">
        <f>1*2.59</f>
        <v>2.59</v>
      </c>
      <c r="AC330">
        <v>0</v>
      </c>
      <c r="AD330">
        <v>854</v>
      </c>
      <c r="AE330">
        <v>0</v>
      </c>
      <c r="AF330">
        <v>87</v>
      </c>
      <c r="AG330">
        <v>0</v>
      </c>
      <c r="AH330">
        <v>90</v>
      </c>
      <c r="AI330">
        <v>0</v>
      </c>
      <c r="AJ330">
        <v>0</v>
      </c>
      <c r="AK330">
        <f t="shared" si="5"/>
        <v>19334.59</v>
      </c>
      <c r="AO330">
        <v>2.59</v>
      </c>
    </row>
    <row r="331" spans="1:41" x14ac:dyDescent="0.3">
      <c r="A331">
        <v>732</v>
      </c>
      <c r="C331" t="s">
        <v>39</v>
      </c>
      <c r="D331" t="s">
        <v>7</v>
      </c>
      <c r="E331">
        <v>2300647</v>
      </c>
      <c r="F331" s="1">
        <v>45146</v>
      </c>
      <c r="G331" s="1">
        <v>45152</v>
      </c>
      <c r="H331">
        <v>7</v>
      </c>
      <c r="I331">
        <v>131</v>
      </c>
      <c r="J331">
        <v>6652</v>
      </c>
      <c r="K331">
        <v>106</v>
      </c>
      <c r="L331">
        <v>1054</v>
      </c>
      <c r="M331">
        <v>3</v>
      </c>
      <c r="N331">
        <v>5</v>
      </c>
      <c r="O331">
        <v>41</v>
      </c>
      <c r="P331">
        <v>0</v>
      </c>
      <c r="Q331">
        <v>0</v>
      </c>
      <c r="R331">
        <v>720</v>
      </c>
      <c r="S331">
        <v>0</v>
      </c>
      <c r="T331">
        <v>0</v>
      </c>
      <c r="U331">
        <v>0</v>
      </c>
      <c r="V331">
        <v>616</v>
      </c>
      <c r="W331">
        <v>417</v>
      </c>
      <c r="X331">
        <v>3694</v>
      </c>
      <c r="Y331">
        <v>0</v>
      </c>
      <c r="Z331">
        <f>2.59*1</f>
        <v>2.59</v>
      </c>
      <c r="AA331">
        <v>0</v>
      </c>
      <c r="AB331">
        <f>2.59*14</f>
        <v>36.26</v>
      </c>
      <c r="AC331">
        <v>0</v>
      </c>
      <c r="AD331">
        <v>244</v>
      </c>
      <c r="AE331">
        <v>0</v>
      </c>
      <c r="AF331">
        <v>1295</v>
      </c>
      <c r="AG331">
        <v>0</v>
      </c>
      <c r="AH331">
        <v>1121</v>
      </c>
      <c r="AI331">
        <v>25</v>
      </c>
      <c r="AJ331">
        <v>0</v>
      </c>
      <c r="AK331">
        <f t="shared" si="5"/>
        <v>16169.85</v>
      </c>
      <c r="AO331">
        <v>2.59</v>
      </c>
    </row>
    <row r="332" spans="1:41" x14ac:dyDescent="0.3">
      <c r="A332">
        <v>735</v>
      </c>
      <c r="C332" t="s">
        <v>78</v>
      </c>
      <c r="D332" t="s">
        <v>7</v>
      </c>
      <c r="E332">
        <v>2300463</v>
      </c>
      <c r="F332" s="1">
        <v>45139</v>
      </c>
      <c r="G332" s="1">
        <v>45147</v>
      </c>
      <c r="H332">
        <v>0</v>
      </c>
      <c r="I332">
        <v>725</v>
      </c>
      <c r="J332">
        <v>393</v>
      </c>
      <c r="K332">
        <v>68</v>
      </c>
      <c r="L332">
        <v>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1360</v>
      </c>
      <c r="S332">
        <v>0</v>
      </c>
      <c r="T332">
        <v>0</v>
      </c>
      <c r="U332">
        <v>0</v>
      </c>
      <c r="V332">
        <v>297</v>
      </c>
      <c r="W332">
        <v>1634</v>
      </c>
      <c r="X332">
        <v>696</v>
      </c>
      <c r="Y332">
        <v>0</v>
      </c>
      <c r="Z332">
        <f>1*2.59</f>
        <v>2.59</v>
      </c>
      <c r="AA332">
        <v>0</v>
      </c>
      <c r="AB332">
        <f>22*2.59</f>
        <v>56.98</v>
      </c>
      <c r="AC332">
        <v>0</v>
      </c>
      <c r="AD332">
        <v>1004</v>
      </c>
      <c r="AE332">
        <v>0</v>
      </c>
      <c r="AF332">
        <v>224</v>
      </c>
      <c r="AG332">
        <v>0</v>
      </c>
      <c r="AH332">
        <v>174</v>
      </c>
      <c r="AI332">
        <v>32</v>
      </c>
      <c r="AJ332">
        <v>0</v>
      </c>
      <c r="AK332">
        <f t="shared" si="5"/>
        <v>6675.57</v>
      </c>
      <c r="AO332">
        <v>2.59</v>
      </c>
    </row>
    <row r="333" spans="1:41" x14ac:dyDescent="0.3">
      <c r="A333">
        <v>738</v>
      </c>
      <c r="C333" t="s">
        <v>78</v>
      </c>
      <c r="D333" t="s">
        <v>7</v>
      </c>
      <c r="E333">
        <v>2300463</v>
      </c>
      <c r="F333" s="1">
        <v>45147</v>
      </c>
      <c r="G333" s="1">
        <v>45154</v>
      </c>
      <c r="H333">
        <v>2</v>
      </c>
      <c r="I333">
        <v>484</v>
      </c>
      <c r="J333">
        <v>1743</v>
      </c>
      <c r="K333">
        <v>149</v>
      </c>
      <c r="L333">
        <v>60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556</v>
      </c>
      <c r="S333">
        <v>0</v>
      </c>
      <c r="T333">
        <v>0</v>
      </c>
      <c r="U333">
        <v>0</v>
      </c>
      <c r="V333">
        <v>2229</v>
      </c>
      <c r="W333">
        <v>804</v>
      </c>
      <c r="X333">
        <v>3380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1216</v>
      </c>
      <c r="AE333">
        <v>0</v>
      </c>
      <c r="AF333">
        <v>381</v>
      </c>
      <c r="AG333">
        <v>0</v>
      </c>
      <c r="AH333">
        <v>254</v>
      </c>
      <c r="AI333">
        <v>16</v>
      </c>
      <c r="AJ333">
        <v>0</v>
      </c>
      <c r="AK333">
        <f t="shared" ref="AK333:AK396" si="6">SUM(H333:AJ333)</f>
        <v>11274</v>
      </c>
      <c r="AO333">
        <v>2.59</v>
      </c>
    </row>
    <row r="334" spans="1:41" x14ac:dyDescent="0.3">
      <c r="A334">
        <v>741</v>
      </c>
      <c r="C334" t="s">
        <v>78</v>
      </c>
      <c r="D334" t="s">
        <v>7</v>
      </c>
      <c r="E334">
        <v>2300463</v>
      </c>
      <c r="F334" s="1">
        <v>45157</v>
      </c>
      <c r="G334" s="1">
        <v>45160</v>
      </c>
      <c r="H334">
        <v>5</v>
      </c>
      <c r="I334">
        <v>9</v>
      </c>
      <c r="J334">
        <v>1555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244</v>
      </c>
      <c r="S334">
        <v>0</v>
      </c>
      <c r="T334">
        <v>0</v>
      </c>
      <c r="U334">
        <v>0</v>
      </c>
      <c r="V334">
        <v>223</v>
      </c>
      <c r="W334">
        <v>51</v>
      </c>
      <c r="X334">
        <v>109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1104</v>
      </c>
      <c r="AE334">
        <v>0</v>
      </c>
      <c r="AF334">
        <v>23</v>
      </c>
      <c r="AG334">
        <v>0</v>
      </c>
      <c r="AH334">
        <v>0</v>
      </c>
      <c r="AI334">
        <v>0</v>
      </c>
      <c r="AJ334">
        <v>0</v>
      </c>
      <c r="AK334">
        <f t="shared" si="6"/>
        <v>3325</v>
      </c>
      <c r="AO334">
        <v>2.59</v>
      </c>
    </row>
    <row r="335" spans="1:41" x14ac:dyDescent="0.3">
      <c r="A335">
        <v>744</v>
      </c>
      <c r="C335" t="s">
        <v>71</v>
      </c>
      <c r="D335" t="s">
        <v>7</v>
      </c>
      <c r="E335">
        <v>2300465</v>
      </c>
      <c r="F335" s="1">
        <v>45134</v>
      </c>
      <c r="G335" s="1">
        <v>45141</v>
      </c>
      <c r="H335">
        <v>16</v>
      </c>
      <c r="I335">
        <v>0</v>
      </c>
      <c r="J335">
        <v>7944</v>
      </c>
      <c r="K335">
        <v>146</v>
      </c>
      <c r="L335">
        <v>3</v>
      </c>
      <c r="M335">
        <v>7</v>
      </c>
      <c r="N335">
        <v>0</v>
      </c>
      <c r="O335">
        <v>0</v>
      </c>
      <c r="P335">
        <v>0</v>
      </c>
      <c r="Q335">
        <v>0</v>
      </c>
      <c r="R335">
        <v>56</v>
      </c>
      <c r="S335">
        <v>0</v>
      </c>
      <c r="T335">
        <v>0</v>
      </c>
      <c r="U335">
        <v>0</v>
      </c>
      <c r="V335">
        <v>815</v>
      </c>
      <c r="W335">
        <v>21</v>
      </c>
      <c r="X335">
        <v>2314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968</v>
      </c>
      <c r="AE335">
        <v>0</v>
      </c>
      <c r="AF335">
        <v>46</v>
      </c>
      <c r="AG335">
        <v>0</v>
      </c>
      <c r="AH335">
        <v>17</v>
      </c>
      <c r="AI335">
        <v>0</v>
      </c>
      <c r="AJ335">
        <v>0</v>
      </c>
      <c r="AK335">
        <f t="shared" si="6"/>
        <v>12353</v>
      </c>
      <c r="AO335">
        <v>2.59</v>
      </c>
    </row>
    <row r="336" spans="1:41" x14ac:dyDescent="0.3">
      <c r="A336">
        <v>747</v>
      </c>
      <c r="C336" t="s">
        <v>71</v>
      </c>
      <c r="D336" t="s">
        <v>7</v>
      </c>
      <c r="E336">
        <v>2300465</v>
      </c>
      <c r="F336" s="1">
        <v>45141</v>
      </c>
      <c r="G336" s="1">
        <v>45148</v>
      </c>
      <c r="H336">
        <v>38</v>
      </c>
      <c r="I336">
        <v>0</v>
      </c>
      <c r="J336">
        <v>8069</v>
      </c>
      <c r="K336">
        <v>64</v>
      </c>
      <c r="L336">
        <v>53</v>
      </c>
      <c r="M336">
        <v>716</v>
      </c>
      <c r="N336">
        <v>0</v>
      </c>
      <c r="O336">
        <v>0</v>
      </c>
      <c r="P336">
        <v>0</v>
      </c>
      <c r="Q336">
        <v>0</v>
      </c>
      <c r="R336">
        <v>396</v>
      </c>
      <c r="S336">
        <v>0</v>
      </c>
      <c r="T336">
        <v>0</v>
      </c>
      <c r="U336">
        <v>0</v>
      </c>
      <c r="V336">
        <v>1060</v>
      </c>
      <c r="W336">
        <v>5</v>
      </c>
      <c r="X336">
        <v>1001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1646</v>
      </c>
      <c r="AE336">
        <v>0</v>
      </c>
      <c r="AF336">
        <v>66</v>
      </c>
      <c r="AG336">
        <v>0</v>
      </c>
      <c r="AH336">
        <v>22</v>
      </c>
      <c r="AI336">
        <v>0</v>
      </c>
      <c r="AJ336">
        <v>0</v>
      </c>
      <c r="AK336">
        <f t="shared" si="6"/>
        <v>13136</v>
      </c>
      <c r="AO336">
        <v>2.59</v>
      </c>
    </row>
    <row r="337" spans="1:41" x14ac:dyDescent="0.3">
      <c r="A337">
        <v>750</v>
      </c>
      <c r="C337" t="s">
        <v>71</v>
      </c>
      <c r="D337" t="s">
        <v>7</v>
      </c>
      <c r="E337">
        <v>2300465</v>
      </c>
      <c r="F337" s="1">
        <v>45153</v>
      </c>
      <c r="G337" s="1">
        <v>45160</v>
      </c>
      <c r="H337">
        <v>47</v>
      </c>
      <c r="I337">
        <v>0</v>
      </c>
      <c r="J337">
        <v>5999</v>
      </c>
      <c r="K337">
        <v>15</v>
      </c>
      <c r="L337">
        <v>53</v>
      </c>
      <c r="M337">
        <v>14</v>
      </c>
      <c r="N337">
        <v>0</v>
      </c>
      <c r="O337">
        <v>0</v>
      </c>
      <c r="P337">
        <v>0</v>
      </c>
      <c r="Q337">
        <v>0</v>
      </c>
      <c r="R337">
        <v>176</v>
      </c>
      <c r="S337">
        <v>0</v>
      </c>
      <c r="T337">
        <v>0</v>
      </c>
      <c r="U337">
        <v>0</v>
      </c>
      <c r="V337">
        <v>910</v>
      </c>
      <c r="W337">
        <v>8</v>
      </c>
      <c r="X337">
        <v>5907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486</v>
      </c>
      <c r="AE337">
        <v>0</v>
      </c>
      <c r="AF337">
        <v>140</v>
      </c>
      <c r="AG337">
        <v>0</v>
      </c>
      <c r="AH337">
        <v>296</v>
      </c>
      <c r="AI337">
        <v>0</v>
      </c>
      <c r="AJ337">
        <v>0</v>
      </c>
      <c r="AK337">
        <f t="shared" si="6"/>
        <v>14051</v>
      </c>
      <c r="AO337">
        <v>2.59</v>
      </c>
    </row>
    <row r="338" spans="1:41" x14ac:dyDescent="0.3">
      <c r="A338">
        <v>753</v>
      </c>
      <c r="C338" t="s">
        <v>71</v>
      </c>
      <c r="D338" t="s">
        <v>7</v>
      </c>
      <c r="E338">
        <v>2300465</v>
      </c>
      <c r="F338" s="1">
        <v>45161</v>
      </c>
      <c r="G338" s="1">
        <v>45169</v>
      </c>
      <c r="H338">
        <v>162</v>
      </c>
      <c r="I338">
        <v>1</v>
      </c>
      <c r="J338">
        <v>4640</v>
      </c>
      <c r="K338">
        <v>163</v>
      </c>
      <c r="L338">
        <v>325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776</v>
      </c>
      <c r="S338">
        <v>0</v>
      </c>
      <c r="T338">
        <v>0</v>
      </c>
      <c r="U338">
        <v>0</v>
      </c>
      <c r="V338">
        <v>746</v>
      </c>
      <c r="W338">
        <v>171</v>
      </c>
      <c r="X338">
        <v>8314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962</v>
      </c>
      <c r="AE338">
        <v>0</v>
      </c>
      <c r="AF338">
        <v>385</v>
      </c>
      <c r="AG338">
        <v>0</v>
      </c>
      <c r="AH338">
        <v>62</v>
      </c>
      <c r="AI338">
        <v>202</v>
      </c>
      <c r="AJ338">
        <v>0</v>
      </c>
      <c r="AK338">
        <f t="shared" si="6"/>
        <v>16909</v>
      </c>
      <c r="AO338">
        <v>2.59</v>
      </c>
    </row>
    <row r="339" spans="1:41" x14ac:dyDescent="0.3">
      <c r="A339">
        <v>756</v>
      </c>
      <c r="C339" t="s">
        <v>83</v>
      </c>
      <c r="D339" t="s">
        <v>7</v>
      </c>
      <c r="E339">
        <v>2300462</v>
      </c>
      <c r="F339" s="1">
        <v>45140</v>
      </c>
      <c r="G339" s="1">
        <v>45148</v>
      </c>
      <c r="H339">
        <v>0</v>
      </c>
      <c r="I339">
        <v>39</v>
      </c>
      <c r="J339">
        <v>603</v>
      </c>
      <c r="K339">
        <v>29</v>
      </c>
      <c r="L339">
        <v>19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1200</v>
      </c>
      <c r="S339">
        <v>0</v>
      </c>
      <c r="T339">
        <v>0</v>
      </c>
      <c r="U339">
        <v>0</v>
      </c>
      <c r="V339">
        <v>304</v>
      </c>
      <c r="W339">
        <v>899</v>
      </c>
      <c r="X339">
        <v>1154</v>
      </c>
      <c r="Y339">
        <v>0</v>
      </c>
      <c r="Z339">
        <f>9*2.59</f>
        <v>23.31</v>
      </c>
      <c r="AA339">
        <v>0</v>
      </c>
      <c r="AB339">
        <f>173*2.59</f>
        <v>448.07</v>
      </c>
      <c r="AC339">
        <v>0</v>
      </c>
      <c r="AD339">
        <v>848</v>
      </c>
      <c r="AE339">
        <v>2</v>
      </c>
      <c r="AF339">
        <v>213</v>
      </c>
      <c r="AG339">
        <v>0</v>
      </c>
      <c r="AH339">
        <v>254</v>
      </c>
      <c r="AI339">
        <v>52</v>
      </c>
      <c r="AJ339">
        <v>0</v>
      </c>
      <c r="AK339">
        <f t="shared" si="6"/>
        <v>6087.38</v>
      </c>
      <c r="AO339">
        <v>2.59</v>
      </c>
    </row>
    <row r="340" spans="1:41" x14ac:dyDescent="0.3">
      <c r="A340">
        <v>759</v>
      </c>
      <c r="C340" t="s">
        <v>83</v>
      </c>
      <c r="D340" t="s">
        <v>7</v>
      </c>
      <c r="E340">
        <v>2300462</v>
      </c>
      <c r="F340" s="1">
        <v>45148</v>
      </c>
      <c r="G340" s="1">
        <v>45154</v>
      </c>
      <c r="H340">
        <v>0</v>
      </c>
      <c r="I340">
        <v>35</v>
      </c>
      <c r="J340">
        <v>764</v>
      </c>
      <c r="K340">
        <v>17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1304</v>
      </c>
      <c r="S340">
        <v>0</v>
      </c>
      <c r="T340">
        <v>0</v>
      </c>
      <c r="U340">
        <v>0</v>
      </c>
      <c r="V340">
        <v>118</v>
      </c>
      <c r="W340">
        <v>435</v>
      </c>
      <c r="X340">
        <v>723</v>
      </c>
      <c r="Y340">
        <v>0</v>
      </c>
      <c r="Z340">
        <f>5*2.59</f>
        <v>12.95</v>
      </c>
      <c r="AA340">
        <v>0</v>
      </c>
      <c r="AB340">
        <f>87*2.59</f>
        <v>225.32999999999998</v>
      </c>
      <c r="AC340">
        <v>0</v>
      </c>
      <c r="AD340">
        <v>706</v>
      </c>
      <c r="AE340">
        <v>0</v>
      </c>
      <c r="AF340">
        <v>97</v>
      </c>
      <c r="AG340">
        <v>0</v>
      </c>
      <c r="AH340">
        <v>107</v>
      </c>
      <c r="AI340">
        <v>17</v>
      </c>
      <c r="AJ340">
        <v>0</v>
      </c>
      <c r="AK340">
        <f>SUM(H340:AJ340)</f>
        <v>4563.28</v>
      </c>
      <c r="AO340">
        <v>2.59</v>
      </c>
    </row>
    <row r="341" spans="1:41" x14ac:dyDescent="0.3">
      <c r="A341">
        <v>762</v>
      </c>
      <c r="C341" t="s">
        <v>83</v>
      </c>
      <c r="D341" t="s">
        <v>7</v>
      </c>
      <c r="E341">
        <v>2300462</v>
      </c>
      <c r="F341" s="1">
        <v>45157</v>
      </c>
      <c r="G341" s="1">
        <v>45159</v>
      </c>
      <c r="H341">
        <v>8</v>
      </c>
      <c r="I341">
        <v>7</v>
      </c>
      <c r="J341">
        <v>533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124</v>
      </c>
      <c r="S341">
        <v>0</v>
      </c>
      <c r="T341">
        <v>0</v>
      </c>
      <c r="U341">
        <v>0</v>
      </c>
      <c r="V341">
        <v>147</v>
      </c>
      <c r="W341">
        <v>48</v>
      </c>
      <c r="X341">
        <v>12</v>
      </c>
      <c r="Y341">
        <v>0</v>
      </c>
      <c r="Z341">
        <f>6*2.59</f>
        <v>15.54</v>
      </c>
      <c r="AA341">
        <v>0</v>
      </c>
      <c r="AB341">
        <f>116*2.59</f>
        <v>300.44</v>
      </c>
      <c r="AC341">
        <v>0</v>
      </c>
      <c r="AD341">
        <v>466</v>
      </c>
      <c r="AE341">
        <v>0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f t="shared" si="6"/>
        <v>1662.98</v>
      </c>
      <c r="AO341">
        <v>2.59</v>
      </c>
    </row>
    <row r="342" spans="1:41" x14ac:dyDescent="0.3">
      <c r="A342">
        <v>765</v>
      </c>
      <c r="C342" t="s">
        <v>83</v>
      </c>
      <c r="D342" t="s">
        <v>7</v>
      </c>
      <c r="E342">
        <v>2300462</v>
      </c>
      <c r="F342" s="1">
        <v>45165</v>
      </c>
      <c r="G342" s="1">
        <v>45168</v>
      </c>
      <c r="H342">
        <v>1</v>
      </c>
      <c r="I342">
        <v>3</v>
      </c>
      <c r="J342">
        <v>70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324</v>
      </c>
      <c r="S342">
        <v>0</v>
      </c>
      <c r="T342">
        <v>0</v>
      </c>
      <c r="U342">
        <v>0</v>
      </c>
      <c r="V342">
        <v>28</v>
      </c>
      <c r="W342">
        <v>83</v>
      </c>
      <c r="X342">
        <v>21</v>
      </c>
      <c r="Y342">
        <v>0</v>
      </c>
      <c r="Z342">
        <f>2*2.59</f>
        <v>5.18</v>
      </c>
      <c r="AA342">
        <v>0</v>
      </c>
      <c r="AB342">
        <f>45*2.59</f>
        <v>116.55</v>
      </c>
      <c r="AC342">
        <v>0</v>
      </c>
      <c r="AD342">
        <v>204</v>
      </c>
      <c r="AE342">
        <v>0</v>
      </c>
      <c r="AF342">
        <v>6</v>
      </c>
      <c r="AG342">
        <v>0</v>
      </c>
      <c r="AH342">
        <v>7</v>
      </c>
      <c r="AI342">
        <v>5</v>
      </c>
      <c r="AJ342">
        <v>0</v>
      </c>
      <c r="AK342">
        <f t="shared" si="6"/>
        <v>873.7299999999999</v>
      </c>
      <c r="AO342">
        <v>2.59</v>
      </c>
    </row>
    <row r="343" spans="1:41" x14ac:dyDescent="0.3">
      <c r="A343">
        <v>768</v>
      </c>
      <c r="C343" t="s">
        <v>4</v>
      </c>
      <c r="D343" t="s">
        <v>7</v>
      </c>
      <c r="E343">
        <v>2300464</v>
      </c>
      <c r="F343" s="1">
        <v>45139</v>
      </c>
      <c r="G343" s="1">
        <v>45145</v>
      </c>
      <c r="H343">
        <v>41</v>
      </c>
      <c r="I343">
        <v>2</v>
      </c>
      <c r="J343">
        <v>7792</v>
      </c>
      <c r="K343">
        <v>23</v>
      </c>
      <c r="L343">
        <v>42</v>
      </c>
      <c r="M343">
        <v>14</v>
      </c>
      <c r="N343">
        <v>0</v>
      </c>
      <c r="O343">
        <v>11</v>
      </c>
      <c r="P343">
        <v>0</v>
      </c>
      <c r="Q343">
        <v>0</v>
      </c>
      <c r="R343">
        <v>428</v>
      </c>
      <c r="S343">
        <v>0</v>
      </c>
      <c r="T343">
        <v>0</v>
      </c>
      <c r="U343">
        <v>0</v>
      </c>
      <c r="V343">
        <v>780</v>
      </c>
      <c r="W343">
        <v>1</v>
      </c>
      <c r="X343">
        <v>3649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382</v>
      </c>
      <c r="AE343">
        <v>4</v>
      </c>
      <c r="AF343">
        <v>59</v>
      </c>
      <c r="AG343">
        <v>0</v>
      </c>
      <c r="AH343">
        <v>60</v>
      </c>
      <c r="AI343">
        <v>0</v>
      </c>
      <c r="AJ343">
        <v>0</v>
      </c>
      <c r="AK343">
        <f t="shared" si="6"/>
        <v>13288</v>
      </c>
      <c r="AO343">
        <v>2.59</v>
      </c>
    </row>
    <row r="344" spans="1:41" x14ac:dyDescent="0.3">
      <c r="A344">
        <v>771</v>
      </c>
      <c r="C344" t="s">
        <v>4</v>
      </c>
      <c r="D344" t="s">
        <v>7</v>
      </c>
      <c r="E344">
        <v>2300464</v>
      </c>
      <c r="F344" s="1">
        <v>45146</v>
      </c>
      <c r="G344" s="1">
        <v>45152</v>
      </c>
      <c r="H344">
        <v>6</v>
      </c>
      <c r="I344">
        <v>55</v>
      </c>
      <c r="J344">
        <v>4517</v>
      </c>
      <c r="K344">
        <v>55</v>
      </c>
      <c r="L344">
        <v>216</v>
      </c>
      <c r="M344">
        <v>3</v>
      </c>
      <c r="N344">
        <v>0</v>
      </c>
      <c r="O344">
        <v>68</v>
      </c>
      <c r="P344">
        <v>0</v>
      </c>
      <c r="Q344">
        <v>0</v>
      </c>
      <c r="R344">
        <v>932</v>
      </c>
      <c r="S344">
        <v>0</v>
      </c>
      <c r="T344">
        <v>0</v>
      </c>
      <c r="U344">
        <v>0</v>
      </c>
      <c r="V344">
        <v>647</v>
      </c>
      <c r="W344">
        <v>405</v>
      </c>
      <c r="X344">
        <v>2826</v>
      </c>
      <c r="Y344">
        <v>0</v>
      </c>
      <c r="Z344">
        <f>3*2.59</f>
        <v>7.77</v>
      </c>
      <c r="AA344">
        <v>0</v>
      </c>
      <c r="AB344">
        <f>57*2.59</f>
        <v>147.63</v>
      </c>
      <c r="AC344">
        <v>0</v>
      </c>
      <c r="AD344">
        <v>386</v>
      </c>
      <c r="AE344">
        <v>0</v>
      </c>
      <c r="AF344">
        <v>1000</v>
      </c>
      <c r="AG344">
        <v>0</v>
      </c>
      <c r="AH344">
        <v>495</v>
      </c>
      <c r="AI344">
        <v>38</v>
      </c>
      <c r="AJ344">
        <v>0</v>
      </c>
      <c r="AK344">
        <f t="shared" si="6"/>
        <v>11804.4</v>
      </c>
      <c r="AO344">
        <v>2.59</v>
      </c>
    </row>
    <row r="345" spans="1:41" x14ac:dyDescent="0.3">
      <c r="A345">
        <v>774</v>
      </c>
      <c r="C345" t="s">
        <v>4</v>
      </c>
      <c r="D345" t="s">
        <v>7</v>
      </c>
      <c r="E345">
        <v>2300464</v>
      </c>
      <c r="F345" s="1">
        <v>45153</v>
      </c>
      <c r="G345" s="1">
        <v>45155</v>
      </c>
      <c r="H345">
        <v>2</v>
      </c>
      <c r="I345">
        <v>0</v>
      </c>
      <c r="J345">
        <v>520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176</v>
      </c>
      <c r="S345">
        <v>0</v>
      </c>
      <c r="T345">
        <v>0</v>
      </c>
      <c r="U345">
        <v>0</v>
      </c>
      <c r="V345">
        <v>106</v>
      </c>
      <c r="W345">
        <v>15</v>
      </c>
      <c r="X345">
        <v>326</v>
      </c>
      <c r="Y345">
        <v>0</v>
      </c>
      <c r="Z345">
        <v>0</v>
      </c>
      <c r="AA345">
        <v>0</v>
      </c>
      <c r="AB345">
        <f>8*2.59</f>
        <v>20.72</v>
      </c>
      <c r="AC345">
        <v>0</v>
      </c>
      <c r="AD345">
        <v>392</v>
      </c>
      <c r="AE345">
        <v>0</v>
      </c>
      <c r="AF345">
        <v>20</v>
      </c>
      <c r="AG345">
        <v>0</v>
      </c>
      <c r="AH345">
        <v>32</v>
      </c>
      <c r="AI345">
        <v>0</v>
      </c>
      <c r="AJ345">
        <v>0</v>
      </c>
      <c r="AK345">
        <f t="shared" si="6"/>
        <v>1609.72</v>
      </c>
      <c r="AO345">
        <v>2.59</v>
      </c>
    </row>
    <row r="346" spans="1:41" x14ac:dyDescent="0.3">
      <c r="A346">
        <v>777</v>
      </c>
      <c r="C346" t="s">
        <v>4</v>
      </c>
      <c r="D346" t="s">
        <v>7</v>
      </c>
      <c r="E346">
        <v>2300464</v>
      </c>
      <c r="F346" s="1">
        <v>45156</v>
      </c>
      <c r="G346" s="1">
        <v>45159</v>
      </c>
      <c r="H346">
        <v>0</v>
      </c>
      <c r="I346">
        <v>17</v>
      </c>
      <c r="J346">
        <v>149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0</v>
      </c>
      <c r="T346">
        <v>0</v>
      </c>
      <c r="U346">
        <v>0</v>
      </c>
      <c r="V346">
        <v>140</v>
      </c>
      <c r="W346">
        <v>98</v>
      </c>
      <c r="X346">
        <v>325</v>
      </c>
      <c r="Y346">
        <v>0</v>
      </c>
      <c r="Z346">
        <v>0</v>
      </c>
      <c r="AA346">
        <v>0</v>
      </c>
      <c r="AB346">
        <f>3*2.59</f>
        <v>7.77</v>
      </c>
      <c r="AC346">
        <v>0</v>
      </c>
      <c r="AD346">
        <v>202</v>
      </c>
      <c r="AE346">
        <v>0</v>
      </c>
      <c r="AF346">
        <v>121</v>
      </c>
      <c r="AG346">
        <v>0</v>
      </c>
      <c r="AH346">
        <v>58</v>
      </c>
      <c r="AI346">
        <v>1</v>
      </c>
      <c r="AJ346">
        <v>0</v>
      </c>
      <c r="AK346">
        <f t="shared" si="6"/>
        <v>1284.77</v>
      </c>
      <c r="AO346">
        <v>2.59</v>
      </c>
    </row>
    <row r="347" spans="1:41" x14ac:dyDescent="0.3">
      <c r="A347">
        <v>780</v>
      </c>
      <c r="C347" t="s">
        <v>91</v>
      </c>
      <c r="D347" t="s">
        <v>7</v>
      </c>
      <c r="E347">
        <v>2300585</v>
      </c>
      <c r="F347" s="1">
        <v>45139</v>
      </c>
      <c r="G347" s="1">
        <v>45147</v>
      </c>
      <c r="H347">
        <v>48</v>
      </c>
      <c r="I347">
        <v>0</v>
      </c>
      <c r="J347">
        <v>3634</v>
      </c>
      <c r="K347">
        <v>27</v>
      </c>
      <c r="L347">
        <v>49</v>
      </c>
      <c r="M347">
        <v>7</v>
      </c>
      <c r="N347">
        <v>0</v>
      </c>
      <c r="O347">
        <v>4</v>
      </c>
      <c r="P347">
        <v>0</v>
      </c>
      <c r="Q347">
        <v>0</v>
      </c>
      <c r="R347">
        <v>104</v>
      </c>
      <c r="S347">
        <v>0</v>
      </c>
      <c r="T347">
        <v>0</v>
      </c>
      <c r="U347">
        <v>0</v>
      </c>
      <c r="V347">
        <v>336</v>
      </c>
      <c r="W347">
        <v>159</v>
      </c>
      <c r="X347">
        <v>3734</v>
      </c>
      <c r="Y347">
        <v>0</v>
      </c>
      <c r="Z347">
        <f>2*2.59</f>
        <v>5.18</v>
      </c>
      <c r="AA347">
        <v>0</v>
      </c>
      <c r="AB347">
        <f>40*2.59</f>
        <v>103.6</v>
      </c>
      <c r="AC347">
        <v>0</v>
      </c>
      <c r="AD347">
        <v>468</v>
      </c>
      <c r="AE347">
        <v>0</v>
      </c>
      <c r="AF347">
        <v>243</v>
      </c>
      <c r="AG347">
        <v>0</v>
      </c>
      <c r="AH347">
        <v>125</v>
      </c>
      <c r="AI347">
        <v>5</v>
      </c>
      <c r="AJ347">
        <v>0</v>
      </c>
      <c r="AK347">
        <f t="shared" si="6"/>
        <v>9051.7800000000007</v>
      </c>
      <c r="AO347">
        <v>2.59</v>
      </c>
    </row>
    <row r="348" spans="1:41" x14ac:dyDescent="0.3">
      <c r="A348">
        <v>783</v>
      </c>
      <c r="C348" t="s">
        <v>91</v>
      </c>
      <c r="D348" t="s">
        <v>7</v>
      </c>
      <c r="E348">
        <v>2300585</v>
      </c>
      <c r="F348" s="1">
        <v>45148</v>
      </c>
      <c r="G348" s="1">
        <v>45155</v>
      </c>
      <c r="H348">
        <v>14</v>
      </c>
      <c r="I348">
        <v>67</v>
      </c>
      <c r="J348">
        <v>2797</v>
      </c>
      <c r="K348">
        <v>43</v>
      </c>
      <c r="L348">
        <v>152</v>
      </c>
      <c r="M348">
        <v>0</v>
      </c>
      <c r="N348">
        <v>0</v>
      </c>
      <c r="O348">
        <v>21</v>
      </c>
      <c r="P348">
        <v>0</v>
      </c>
      <c r="Q348">
        <v>0</v>
      </c>
      <c r="R348">
        <v>408</v>
      </c>
      <c r="S348">
        <v>0</v>
      </c>
      <c r="T348">
        <v>0</v>
      </c>
      <c r="U348">
        <v>0</v>
      </c>
      <c r="V348">
        <v>280</v>
      </c>
      <c r="W348">
        <v>489</v>
      </c>
      <c r="X348">
        <v>1684</v>
      </c>
      <c r="Y348">
        <v>0</v>
      </c>
      <c r="Z348">
        <v>0</v>
      </c>
      <c r="AA348">
        <v>0</v>
      </c>
      <c r="AB348">
        <f>3*2.59</f>
        <v>7.77</v>
      </c>
      <c r="AC348">
        <v>0</v>
      </c>
      <c r="AD348">
        <v>296</v>
      </c>
      <c r="AE348">
        <v>0</v>
      </c>
      <c r="AF348">
        <v>410</v>
      </c>
      <c r="AG348">
        <v>0</v>
      </c>
      <c r="AH348">
        <v>295</v>
      </c>
      <c r="AI348">
        <v>16</v>
      </c>
      <c r="AJ348">
        <v>0</v>
      </c>
      <c r="AK348">
        <f t="shared" si="6"/>
        <v>6979.77</v>
      </c>
      <c r="AO348">
        <v>2.59</v>
      </c>
    </row>
    <row r="349" spans="1:41" x14ac:dyDescent="0.3">
      <c r="A349">
        <v>786</v>
      </c>
      <c r="C349" t="s">
        <v>79</v>
      </c>
      <c r="D349" t="s">
        <v>7</v>
      </c>
      <c r="E349">
        <v>2300598</v>
      </c>
      <c r="F349" s="1">
        <v>45224</v>
      </c>
      <c r="G349" s="1">
        <v>45231</v>
      </c>
      <c r="H349">
        <v>379</v>
      </c>
      <c r="I349">
        <v>15</v>
      </c>
      <c r="J349">
        <v>17288</v>
      </c>
      <c r="K349">
        <v>21</v>
      </c>
      <c r="L349">
        <v>5062</v>
      </c>
      <c r="M349">
        <v>1232</v>
      </c>
      <c r="N349">
        <v>2572</v>
      </c>
      <c r="O349">
        <v>422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1109</v>
      </c>
      <c r="W349">
        <v>5</v>
      </c>
      <c r="X349">
        <v>6754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660</v>
      </c>
      <c r="AE349">
        <v>15</v>
      </c>
      <c r="AF349">
        <v>889</v>
      </c>
      <c r="AG349">
        <v>0</v>
      </c>
      <c r="AH349">
        <v>57</v>
      </c>
      <c r="AI349">
        <v>0</v>
      </c>
      <c r="AJ349">
        <v>0</v>
      </c>
      <c r="AK349">
        <f t="shared" si="6"/>
        <v>36480</v>
      </c>
      <c r="AO349">
        <v>2.59</v>
      </c>
    </row>
    <row r="350" spans="1:41" x14ac:dyDescent="0.3">
      <c r="A350">
        <v>789</v>
      </c>
      <c r="C350" t="s">
        <v>79</v>
      </c>
      <c r="D350" t="s">
        <v>7</v>
      </c>
      <c r="E350">
        <v>2300598</v>
      </c>
      <c r="F350" s="1">
        <v>45231</v>
      </c>
      <c r="G350" s="1">
        <v>45238</v>
      </c>
      <c r="H350">
        <v>346</v>
      </c>
      <c r="I350">
        <v>36</v>
      </c>
      <c r="J350">
        <v>16310</v>
      </c>
      <c r="K350">
        <v>111</v>
      </c>
      <c r="L350">
        <v>5705</v>
      </c>
      <c r="M350">
        <v>1827</v>
      </c>
      <c r="N350">
        <v>360</v>
      </c>
      <c r="O350">
        <v>124</v>
      </c>
      <c r="P350">
        <v>0</v>
      </c>
      <c r="Q350">
        <v>0</v>
      </c>
      <c r="R350">
        <v>1608</v>
      </c>
      <c r="S350">
        <v>0</v>
      </c>
      <c r="T350">
        <v>0</v>
      </c>
      <c r="U350">
        <v>0</v>
      </c>
      <c r="V350">
        <v>861</v>
      </c>
      <c r="W350">
        <v>0</v>
      </c>
      <c r="X350">
        <v>6722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672</v>
      </c>
      <c r="AE350">
        <v>87</v>
      </c>
      <c r="AF350">
        <v>365</v>
      </c>
      <c r="AG350">
        <v>0</v>
      </c>
      <c r="AH350">
        <v>36</v>
      </c>
      <c r="AI350">
        <v>0</v>
      </c>
      <c r="AJ350">
        <v>0</v>
      </c>
      <c r="AK350">
        <f t="shared" si="6"/>
        <v>35170</v>
      </c>
      <c r="AO350">
        <v>2.59</v>
      </c>
    </row>
    <row r="351" spans="1:41" x14ac:dyDescent="0.3">
      <c r="A351">
        <v>792</v>
      </c>
      <c r="C351" t="s">
        <v>79</v>
      </c>
      <c r="D351" t="s">
        <v>7</v>
      </c>
      <c r="E351">
        <v>2300598</v>
      </c>
      <c r="F351" s="1">
        <v>45238</v>
      </c>
      <c r="G351" s="1">
        <v>45246</v>
      </c>
      <c r="H351">
        <v>1437</v>
      </c>
      <c r="I351">
        <v>12</v>
      </c>
      <c r="J351">
        <v>20961</v>
      </c>
      <c r="K351">
        <v>123</v>
      </c>
      <c r="L351">
        <v>4985</v>
      </c>
      <c r="M351">
        <v>1383</v>
      </c>
      <c r="N351">
        <v>209</v>
      </c>
      <c r="O351">
        <v>702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1151</v>
      </c>
      <c r="W351">
        <v>0</v>
      </c>
      <c r="X351">
        <v>9396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634</v>
      </c>
      <c r="AE351">
        <v>0</v>
      </c>
      <c r="AF351">
        <v>183</v>
      </c>
      <c r="AG351">
        <v>0</v>
      </c>
      <c r="AH351">
        <v>9</v>
      </c>
      <c r="AI351">
        <v>0</v>
      </c>
      <c r="AJ351">
        <v>0</v>
      </c>
      <c r="AK351">
        <f t="shared" si="6"/>
        <v>41185</v>
      </c>
      <c r="AO351">
        <v>2.59</v>
      </c>
    </row>
    <row r="352" spans="1:41" x14ac:dyDescent="0.3">
      <c r="A352">
        <v>795</v>
      </c>
      <c r="C352" t="s">
        <v>79</v>
      </c>
      <c r="D352" t="s">
        <v>7</v>
      </c>
      <c r="E352">
        <v>2300598</v>
      </c>
      <c r="F352" s="1">
        <v>45246</v>
      </c>
      <c r="G352" s="1">
        <v>45254</v>
      </c>
      <c r="H352">
        <v>542</v>
      </c>
      <c r="I352">
        <v>0</v>
      </c>
      <c r="J352">
        <v>27769</v>
      </c>
      <c r="K352">
        <v>114</v>
      </c>
      <c r="L352">
        <v>943</v>
      </c>
      <c r="M352">
        <v>1558</v>
      </c>
      <c r="N352">
        <v>673</v>
      </c>
      <c r="O352">
        <v>102</v>
      </c>
      <c r="P352">
        <v>0</v>
      </c>
      <c r="Q352">
        <v>0</v>
      </c>
      <c r="R352">
        <v>160</v>
      </c>
      <c r="S352">
        <v>0</v>
      </c>
      <c r="T352">
        <v>0</v>
      </c>
      <c r="U352">
        <v>186</v>
      </c>
      <c r="V352">
        <v>757</v>
      </c>
      <c r="W352">
        <v>0</v>
      </c>
      <c r="X352">
        <v>964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762</v>
      </c>
      <c r="AE352">
        <v>106</v>
      </c>
      <c r="AF352">
        <v>12</v>
      </c>
      <c r="AG352">
        <v>0</v>
      </c>
      <c r="AH352">
        <v>0</v>
      </c>
      <c r="AI352">
        <v>0</v>
      </c>
      <c r="AJ352">
        <v>0</v>
      </c>
      <c r="AK352">
        <f t="shared" si="6"/>
        <v>34648</v>
      </c>
      <c r="AO352">
        <v>2.59</v>
      </c>
    </row>
    <row r="353" spans="1:41" x14ac:dyDescent="0.3">
      <c r="A353">
        <v>798</v>
      </c>
      <c r="C353" t="s">
        <v>79</v>
      </c>
      <c r="D353" t="s">
        <v>7</v>
      </c>
      <c r="E353">
        <v>2300598</v>
      </c>
      <c r="F353" s="1">
        <v>45254</v>
      </c>
      <c r="G353" s="1">
        <v>45260</v>
      </c>
      <c r="H353">
        <v>483</v>
      </c>
      <c r="I353">
        <v>0</v>
      </c>
      <c r="J353">
        <v>53740</v>
      </c>
      <c r="K353">
        <v>2738</v>
      </c>
      <c r="L353">
        <v>16</v>
      </c>
      <c r="M353">
        <v>334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231</v>
      </c>
      <c r="W353">
        <v>0</v>
      </c>
      <c r="X353">
        <v>2481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392</v>
      </c>
      <c r="AE353">
        <v>27</v>
      </c>
      <c r="AF353">
        <v>193</v>
      </c>
      <c r="AG353">
        <v>0</v>
      </c>
      <c r="AH353">
        <v>12</v>
      </c>
      <c r="AI353">
        <v>0</v>
      </c>
      <c r="AJ353">
        <v>0</v>
      </c>
      <c r="AK353">
        <f t="shared" si="6"/>
        <v>60647</v>
      </c>
      <c r="AO353">
        <v>2.59</v>
      </c>
    </row>
    <row r="354" spans="1:41" x14ac:dyDescent="0.3">
      <c r="A354">
        <v>801</v>
      </c>
      <c r="C354" t="s">
        <v>78</v>
      </c>
      <c r="D354" t="s">
        <v>7</v>
      </c>
      <c r="E354">
        <v>2300463</v>
      </c>
      <c r="F354" s="1">
        <v>45257</v>
      </c>
      <c r="G354" s="1">
        <v>45264</v>
      </c>
      <c r="H354">
        <v>7</v>
      </c>
      <c r="I354">
        <v>238</v>
      </c>
      <c r="J354">
        <v>361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76</v>
      </c>
      <c r="S354">
        <v>0</v>
      </c>
      <c r="T354">
        <v>0</v>
      </c>
      <c r="U354">
        <v>0</v>
      </c>
      <c r="V354">
        <v>731</v>
      </c>
      <c r="W354">
        <v>94</v>
      </c>
      <c r="X354">
        <v>58</v>
      </c>
      <c r="Y354">
        <v>0</v>
      </c>
      <c r="Z354">
        <f>2.59</f>
        <v>2.59</v>
      </c>
      <c r="AA354">
        <v>0</v>
      </c>
      <c r="AB354">
        <f>2.59*24</f>
        <v>62.16</v>
      </c>
      <c r="AC354">
        <v>0</v>
      </c>
      <c r="AD354">
        <v>1990</v>
      </c>
      <c r="AE354">
        <v>0</v>
      </c>
      <c r="AF354">
        <v>38</v>
      </c>
      <c r="AG354">
        <v>0</v>
      </c>
      <c r="AH354">
        <v>143</v>
      </c>
      <c r="AI354">
        <v>8</v>
      </c>
      <c r="AJ354">
        <v>0</v>
      </c>
      <c r="AK354">
        <f>SUM(H354:AJ354)</f>
        <v>3809.75</v>
      </c>
      <c r="AO354">
        <v>2.59</v>
      </c>
    </row>
    <row r="355" spans="1:41" x14ac:dyDescent="0.3">
      <c r="A355">
        <v>804</v>
      </c>
      <c r="C355" t="s">
        <v>78</v>
      </c>
      <c r="D355" t="s">
        <v>7</v>
      </c>
      <c r="E355">
        <v>2300463</v>
      </c>
      <c r="F355" s="1">
        <v>45264</v>
      </c>
      <c r="G355" s="1">
        <v>45271</v>
      </c>
      <c r="H355">
        <v>32</v>
      </c>
      <c r="I355">
        <v>447</v>
      </c>
      <c r="J355">
        <v>748</v>
      </c>
      <c r="K355">
        <v>17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104</v>
      </c>
      <c r="S355">
        <v>0</v>
      </c>
      <c r="T355">
        <v>0</v>
      </c>
      <c r="U355">
        <v>0</v>
      </c>
      <c r="V355">
        <v>927</v>
      </c>
      <c r="W355">
        <v>294</v>
      </c>
      <c r="X355">
        <v>393</v>
      </c>
      <c r="Y355">
        <v>0</v>
      </c>
      <c r="Z355">
        <v>0</v>
      </c>
      <c r="AA355">
        <v>0</v>
      </c>
      <c r="AB355">
        <f>8*2.59</f>
        <v>20.72</v>
      </c>
      <c r="AC355">
        <v>0</v>
      </c>
      <c r="AD355">
        <v>1488</v>
      </c>
      <c r="AE355">
        <v>0</v>
      </c>
      <c r="AF355">
        <v>767</v>
      </c>
      <c r="AG355">
        <v>0</v>
      </c>
      <c r="AH355">
        <v>714</v>
      </c>
      <c r="AI355">
        <v>24</v>
      </c>
      <c r="AJ355">
        <v>0</v>
      </c>
      <c r="AK355">
        <f t="shared" si="6"/>
        <v>5980.7199999999993</v>
      </c>
      <c r="AO355">
        <v>2.59</v>
      </c>
    </row>
    <row r="356" spans="1:41" x14ac:dyDescent="0.3">
      <c r="A356">
        <v>822</v>
      </c>
      <c r="C356" t="s">
        <v>79</v>
      </c>
      <c r="D356" t="s">
        <v>7</v>
      </c>
      <c r="E356">
        <v>2300598</v>
      </c>
      <c r="F356" s="1">
        <v>45261</v>
      </c>
      <c r="G356" s="1">
        <v>45267</v>
      </c>
      <c r="H356">
        <v>177</v>
      </c>
      <c r="I356">
        <v>28</v>
      </c>
      <c r="J356">
        <v>34730</v>
      </c>
      <c r="K356">
        <v>4560</v>
      </c>
      <c r="L356">
        <v>278</v>
      </c>
      <c r="M356">
        <v>956</v>
      </c>
      <c r="N356">
        <v>463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294</v>
      </c>
      <c r="W356">
        <v>0</v>
      </c>
      <c r="X356">
        <v>1402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354</v>
      </c>
      <c r="AE356">
        <v>7</v>
      </c>
      <c r="AF356">
        <v>321</v>
      </c>
      <c r="AG356">
        <v>0</v>
      </c>
      <c r="AH356">
        <v>41</v>
      </c>
      <c r="AI356">
        <v>0</v>
      </c>
      <c r="AJ356">
        <v>0</v>
      </c>
      <c r="AK356">
        <f t="shared" si="6"/>
        <v>43611</v>
      </c>
      <c r="AO356">
        <v>2.59</v>
      </c>
    </row>
    <row r="357" spans="1:41" x14ac:dyDescent="0.3">
      <c r="A357">
        <v>825</v>
      </c>
      <c r="C357" t="s">
        <v>79</v>
      </c>
      <c r="D357" t="s">
        <v>7</v>
      </c>
      <c r="E357">
        <v>2300598</v>
      </c>
      <c r="F357" s="1">
        <v>45267</v>
      </c>
      <c r="G357" s="1">
        <v>45273</v>
      </c>
      <c r="H357">
        <v>651</v>
      </c>
      <c r="I357">
        <v>0</v>
      </c>
      <c r="J357">
        <v>37196</v>
      </c>
      <c r="K357">
        <v>43</v>
      </c>
      <c r="L357">
        <v>193</v>
      </c>
      <c r="M357">
        <v>526</v>
      </c>
      <c r="N357">
        <v>4</v>
      </c>
      <c r="O357">
        <v>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1102</v>
      </c>
      <c r="W357">
        <v>0</v>
      </c>
      <c r="X357">
        <v>7287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800</v>
      </c>
      <c r="AE357">
        <v>5</v>
      </c>
      <c r="AF357">
        <v>1500</v>
      </c>
      <c r="AG357">
        <v>0</v>
      </c>
      <c r="AH357">
        <v>22</v>
      </c>
      <c r="AI357">
        <v>0</v>
      </c>
      <c r="AJ357">
        <v>0</v>
      </c>
      <c r="AK357">
        <f t="shared" si="6"/>
        <v>49335</v>
      </c>
      <c r="AO357">
        <v>2.59</v>
      </c>
    </row>
    <row r="358" spans="1:41" x14ac:dyDescent="0.3">
      <c r="A358">
        <v>828</v>
      </c>
      <c r="C358" t="s">
        <v>79</v>
      </c>
      <c r="D358" t="s">
        <v>7</v>
      </c>
      <c r="E358">
        <v>2300598</v>
      </c>
      <c r="F358" s="1">
        <v>45273</v>
      </c>
      <c r="G358" s="1">
        <v>45281</v>
      </c>
      <c r="H358">
        <v>1090</v>
      </c>
      <c r="I358">
        <v>4</v>
      </c>
      <c r="J358">
        <v>24456</v>
      </c>
      <c r="K358">
        <v>138</v>
      </c>
      <c r="L358">
        <v>10411</v>
      </c>
      <c r="M358">
        <v>970</v>
      </c>
      <c r="N358">
        <v>288</v>
      </c>
      <c r="O358">
        <v>403</v>
      </c>
      <c r="P358">
        <v>0</v>
      </c>
      <c r="Q358">
        <v>0</v>
      </c>
      <c r="R358">
        <v>8</v>
      </c>
      <c r="S358">
        <v>0</v>
      </c>
      <c r="T358">
        <v>0</v>
      </c>
      <c r="U358">
        <v>0</v>
      </c>
      <c r="V358">
        <v>1086</v>
      </c>
      <c r="W358">
        <v>0</v>
      </c>
      <c r="X358">
        <v>4279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204</v>
      </c>
      <c r="AE358">
        <v>10</v>
      </c>
      <c r="AF358">
        <v>797</v>
      </c>
      <c r="AG358">
        <v>0</v>
      </c>
      <c r="AH358">
        <v>114</v>
      </c>
      <c r="AI358">
        <v>0</v>
      </c>
      <c r="AJ358">
        <v>0</v>
      </c>
      <c r="AK358">
        <f t="shared" si="6"/>
        <v>44258</v>
      </c>
      <c r="AO358">
        <v>2.59</v>
      </c>
    </row>
    <row r="359" spans="1:41" x14ac:dyDescent="0.3">
      <c r="A359">
        <v>831</v>
      </c>
      <c r="C359" t="s">
        <v>79</v>
      </c>
      <c r="D359" t="s">
        <v>7</v>
      </c>
      <c r="E359">
        <v>2300598</v>
      </c>
      <c r="F359" s="1">
        <v>45281</v>
      </c>
      <c r="G359" s="1">
        <v>45288</v>
      </c>
      <c r="H359">
        <v>581</v>
      </c>
      <c r="I359">
        <v>5</v>
      </c>
      <c r="J359">
        <v>32922</v>
      </c>
      <c r="K359">
        <v>50</v>
      </c>
      <c r="L359">
        <v>6268</v>
      </c>
      <c r="M359">
        <v>753</v>
      </c>
      <c r="N359">
        <v>614</v>
      </c>
      <c r="O359">
        <v>190</v>
      </c>
      <c r="P359">
        <v>0</v>
      </c>
      <c r="Q359">
        <v>0</v>
      </c>
      <c r="R359">
        <v>104</v>
      </c>
      <c r="S359">
        <v>0</v>
      </c>
      <c r="T359">
        <v>0</v>
      </c>
      <c r="U359">
        <v>0</v>
      </c>
      <c r="V359">
        <v>137</v>
      </c>
      <c r="W359">
        <v>5</v>
      </c>
      <c r="X359">
        <v>1724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384</v>
      </c>
      <c r="AE359">
        <v>74</v>
      </c>
      <c r="AF359">
        <v>305</v>
      </c>
      <c r="AG359">
        <v>0</v>
      </c>
      <c r="AH359">
        <v>44</v>
      </c>
      <c r="AI359">
        <v>6</v>
      </c>
      <c r="AJ359">
        <v>0</v>
      </c>
      <c r="AK359">
        <f t="shared" si="6"/>
        <v>44166</v>
      </c>
      <c r="AO359">
        <v>2.59</v>
      </c>
    </row>
    <row r="360" spans="1:41" x14ac:dyDescent="0.3">
      <c r="A360">
        <v>834</v>
      </c>
      <c r="C360" t="s">
        <v>39</v>
      </c>
      <c r="D360" t="s">
        <v>7</v>
      </c>
      <c r="E360">
        <v>2300647</v>
      </c>
      <c r="F360" s="1">
        <v>45259</v>
      </c>
      <c r="G360" s="1">
        <v>45266</v>
      </c>
      <c r="H360">
        <v>197</v>
      </c>
      <c r="I360">
        <v>23</v>
      </c>
      <c r="J360">
        <v>6618</v>
      </c>
      <c r="K360">
        <v>6</v>
      </c>
      <c r="L360">
        <v>407</v>
      </c>
      <c r="M360">
        <v>83</v>
      </c>
      <c r="N360">
        <v>0</v>
      </c>
      <c r="O360">
        <v>4</v>
      </c>
      <c r="P360">
        <v>0</v>
      </c>
      <c r="Q360">
        <v>0</v>
      </c>
      <c r="R360">
        <v>244</v>
      </c>
      <c r="S360">
        <v>0</v>
      </c>
      <c r="T360">
        <v>0</v>
      </c>
      <c r="U360">
        <v>0</v>
      </c>
      <c r="V360">
        <v>3171</v>
      </c>
      <c r="W360">
        <v>371</v>
      </c>
      <c r="X360">
        <v>2659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1810</v>
      </c>
      <c r="AE360">
        <v>3</v>
      </c>
      <c r="AF360">
        <v>333</v>
      </c>
      <c r="AG360">
        <v>0</v>
      </c>
      <c r="AH360">
        <v>308</v>
      </c>
      <c r="AI360">
        <v>3</v>
      </c>
      <c r="AJ360">
        <v>0</v>
      </c>
      <c r="AK360">
        <f t="shared" si="6"/>
        <v>16240</v>
      </c>
      <c r="AO360">
        <v>2.59</v>
      </c>
    </row>
    <row r="361" spans="1:41" x14ac:dyDescent="0.3">
      <c r="A361">
        <v>837</v>
      </c>
      <c r="C361" t="s">
        <v>39</v>
      </c>
      <c r="D361" t="s">
        <v>7</v>
      </c>
      <c r="E361">
        <v>2300647</v>
      </c>
      <c r="F361" s="1">
        <v>45267</v>
      </c>
      <c r="G361" s="1">
        <v>45273</v>
      </c>
      <c r="H361">
        <v>632</v>
      </c>
      <c r="I361">
        <v>0</v>
      </c>
      <c r="J361">
        <v>14673</v>
      </c>
      <c r="K361">
        <v>9</v>
      </c>
      <c r="L361">
        <v>61</v>
      </c>
      <c r="M361">
        <v>251</v>
      </c>
      <c r="N361">
        <v>25</v>
      </c>
      <c r="O361">
        <v>0</v>
      </c>
      <c r="P361">
        <v>0</v>
      </c>
      <c r="Q361">
        <v>0</v>
      </c>
      <c r="R361">
        <v>236</v>
      </c>
      <c r="S361">
        <v>0</v>
      </c>
      <c r="T361">
        <v>0</v>
      </c>
      <c r="U361">
        <v>0</v>
      </c>
      <c r="V361">
        <v>533</v>
      </c>
      <c r="W361">
        <v>0</v>
      </c>
      <c r="X361">
        <v>2578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114</v>
      </c>
      <c r="AE361">
        <v>11</v>
      </c>
      <c r="AF361">
        <v>423</v>
      </c>
      <c r="AG361">
        <v>0</v>
      </c>
      <c r="AH361">
        <v>1</v>
      </c>
      <c r="AI361">
        <v>0</v>
      </c>
      <c r="AJ361">
        <v>0</v>
      </c>
      <c r="AK361">
        <f t="shared" si="6"/>
        <v>19547</v>
      </c>
      <c r="AO361">
        <v>2.59</v>
      </c>
    </row>
    <row r="362" spans="1:41" x14ac:dyDescent="0.3">
      <c r="A362">
        <v>840</v>
      </c>
      <c r="C362" t="s">
        <v>39</v>
      </c>
      <c r="D362" t="s">
        <v>7</v>
      </c>
      <c r="E362">
        <v>2300647</v>
      </c>
      <c r="F362" s="1">
        <v>45274</v>
      </c>
      <c r="G362" s="1">
        <v>45280</v>
      </c>
      <c r="H362">
        <v>294</v>
      </c>
      <c r="I362">
        <v>11</v>
      </c>
      <c r="J362">
        <v>13677</v>
      </c>
      <c r="K362">
        <v>24</v>
      </c>
      <c r="L362">
        <v>5039</v>
      </c>
      <c r="M362">
        <v>316</v>
      </c>
      <c r="N362">
        <v>121</v>
      </c>
      <c r="O362">
        <v>118</v>
      </c>
      <c r="P362">
        <v>0</v>
      </c>
      <c r="Q362">
        <v>0</v>
      </c>
      <c r="R362">
        <v>972</v>
      </c>
      <c r="S362">
        <v>0</v>
      </c>
      <c r="T362">
        <v>0</v>
      </c>
      <c r="U362">
        <v>0</v>
      </c>
      <c r="V362">
        <v>693</v>
      </c>
      <c r="W362">
        <v>0</v>
      </c>
      <c r="X362">
        <v>1825</v>
      </c>
      <c r="Y362">
        <v>0</v>
      </c>
      <c r="Z362">
        <v>0</v>
      </c>
      <c r="AA362">
        <v>0</v>
      </c>
      <c r="AB362">
        <f>3*2.59</f>
        <v>7.77</v>
      </c>
      <c r="AC362">
        <v>0</v>
      </c>
      <c r="AD362">
        <v>58</v>
      </c>
      <c r="AE362">
        <v>0</v>
      </c>
      <c r="AF362">
        <v>382</v>
      </c>
      <c r="AG362">
        <v>0</v>
      </c>
      <c r="AH362">
        <v>130</v>
      </c>
      <c r="AI362">
        <v>0</v>
      </c>
      <c r="AJ362">
        <v>0</v>
      </c>
      <c r="AK362">
        <f t="shared" si="6"/>
        <v>23667.77</v>
      </c>
      <c r="AO362">
        <v>2.59</v>
      </c>
    </row>
    <row r="363" spans="1:41" x14ac:dyDescent="0.3">
      <c r="A363">
        <v>842</v>
      </c>
      <c r="C363" t="s">
        <v>74</v>
      </c>
      <c r="D363" t="s">
        <v>7</v>
      </c>
      <c r="E363">
        <v>2300514</v>
      </c>
      <c r="F363" s="1">
        <v>45258</v>
      </c>
      <c r="G363" s="1">
        <v>45266</v>
      </c>
      <c r="H363">
        <v>50</v>
      </c>
      <c r="I363">
        <v>32</v>
      </c>
      <c r="J363">
        <v>3120</v>
      </c>
      <c r="K363">
        <v>2</v>
      </c>
      <c r="L363">
        <v>186</v>
      </c>
      <c r="M363">
        <v>10</v>
      </c>
      <c r="N363">
        <v>0</v>
      </c>
      <c r="O363">
        <v>3</v>
      </c>
      <c r="P363">
        <v>0</v>
      </c>
      <c r="Q363">
        <v>0</v>
      </c>
      <c r="R363">
        <v>192</v>
      </c>
      <c r="S363">
        <v>0</v>
      </c>
      <c r="T363">
        <v>0</v>
      </c>
      <c r="U363">
        <v>0</v>
      </c>
      <c r="V363">
        <v>994</v>
      </c>
      <c r="W363">
        <v>719</v>
      </c>
      <c r="X363">
        <v>278</v>
      </c>
      <c r="Y363">
        <v>0</v>
      </c>
      <c r="Z363">
        <v>2.59</v>
      </c>
      <c r="AA363">
        <v>0</v>
      </c>
      <c r="AB363">
        <f>9*2.59</f>
        <v>23.31</v>
      </c>
      <c r="AC363">
        <v>0</v>
      </c>
      <c r="AD363">
        <v>1050</v>
      </c>
      <c r="AE363">
        <v>0</v>
      </c>
      <c r="AF363">
        <v>155</v>
      </c>
      <c r="AG363">
        <v>0</v>
      </c>
      <c r="AH363">
        <v>567</v>
      </c>
      <c r="AI363">
        <v>3</v>
      </c>
      <c r="AJ363">
        <v>0</v>
      </c>
      <c r="AK363">
        <f t="shared" si="6"/>
        <v>7386.9000000000005</v>
      </c>
      <c r="AO363">
        <v>2.59</v>
      </c>
    </row>
    <row r="364" spans="1:41" x14ac:dyDescent="0.3">
      <c r="A364">
        <v>845</v>
      </c>
      <c r="C364" t="s">
        <v>74</v>
      </c>
      <c r="D364" t="s">
        <v>7</v>
      </c>
      <c r="E364">
        <v>2300514</v>
      </c>
      <c r="F364" s="1">
        <v>45267</v>
      </c>
      <c r="G364" s="1">
        <v>45274</v>
      </c>
      <c r="H364">
        <v>184</v>
      </c>
      <c r="I364">
        <v>23</v>
      </c>
      <c r="J364">
        <v>6919</v>
      </c>
      <c r="K364">
        <v>137</v>
      </c>
      <c r="L364">
        <v>511</v>
      </c>
      <c r="M364">
        <v>110</v>
      </c>
      <c r="N364">
        <v>3</v>
      </c>
      <c r="O364">
        <v>0</v>
      </c>
      <c r="P364">
        <v>0</v>
      </c>
      <c r="Q364">
        <v>0</v>
      </c>
      <c r="R364">
        <v>112</v>
      </c>
      <c r="S364">
        <v>0</v>
      </c>
      <c r="T364">
        <v>0</v>
      </c>
      <c r="U364">
        <v>0</v>
      </c>
      <c r="V364">
        <v>274</v>
      </c>
      <c r="W364">
        <v>20</v>
      </c>
      <c r="X364">
        <v>3316</v>
      </c>
      <c r="Y364">
        <v>0</v>
      </c>
      <c r="Z364">
        <v>0</v>
      </c>
      <c r="AA364">
        <v>0</v>
      </c>
      <c r="AB364">
        <f>2*2.59</f>
        <v>5.18</v>
      </c>
      <c r="AC364">
        <v>0</v>
      </c>
      <c r="AD364">
        <v>142</v>
      </c>
      <c r="AE364">
        <v>0</v>
      </c>
      <c r="AF364">
        <v>269</v>
      </c>
      <c r="AG364">
        <v>0</v>
      </c>
      <c r="AH364">
        <v>322</v>
      </c>
      <c r="AI364">
        <v>31</v>
      </c>
      <c r="AJ364">
        <v>0</v>
      </c>
      <c r="AK364">
        <f t="shared" si="6"/>
        <v>12378.18</v>
      </c>
      <c r="AO364">
        <v>2.59</v>
      </c>
    </row>
    <row r="365" spans="1:41" x14ac:dyDescent="0.3">
      <c r="A365">
        <v>848</v>
      </c>
      <c r="C365" t="s">
        <v>74</v>
      </c>
      <c r="D365" t="s">
        <v>7</v>
      </c>
      <c r="E365">
        <v>2300514</v>
      </c>
      <c r="F365" s="1">
        <v>45274</v>
      </c>
      <c r="G365" s="1">
        <v>45283</v>
      </c>
      <c r="H365">
        <v>128</v>
      </c>
      <c r="I365">
        <v>32</v>
      </c>
      <c r="J365">
        <v>10887</v>
      </c>
      <c r="K365">
        <v>24</v>
      </c>
      <c r="L365">
        <v>1565</v>
      </c>
      <c r="M365">
        <v>327</v>
      </c>
      <c r="N365">
        <v>5</v>
      </c>
      <c r="O365">
        <v>247</v>
      </c>
      <c r="P365">
        <v>0</v>
      </c>
      <c r="Q365">
        <v>0</v>
      </c>
      <c r="R365">
        <v>1752</v>
      </c>
      <c r="S365">
        <v>0</v>
      </c>
      <c r="T365">
        <v>0</v>
      </c>
      <c r="U365">
        <v>0</v>
      </c>
      <c r="V365">
        <v>1246</v>
      </c>
      <c r="W365">
        <v>206</v>
      </c>
      <c r="X365">
        <v>910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140</v>
      </c>
      <c r="AE365">
        <v>0</v>
      </c>
      <c r="AF365">
        <v>138</v>
      </c>
      <c r="AG365">
        <v>0</v>
      </c>
      <c r="AH365">
        <v>140</v>
      </c>
      <c r="AI365">
        <v>0</v>
      </c>
      <c r="AJ365">
        <v>0</v>
      </c>
      <c r="AK365">
        <f t="shared" si="6"/>
        <v>17747</v>
      </c>
      <c r="AO365">
        <v>2.59</v>
      </c>
    </row>
    <row r="366" spans="1:41" x14ac:dyDescent="0.3">
      <c r="A366">
        <v>851</v>
      </c>
      <c r="C366" t="s">
        <v>91</v>
      </c>
      <c r="D366" t="s">
        <v>7</v>
      </c>
      <c r="E366">
        <v>2300585</v>
      </c>
      <c r="F366" s="1">
        <v>45259</v>
      </c>
      <c r="G366" s="1">
        <v>45264</v>
      </c>
      <c r="H366">
        <v>45</v>
      </c>
      <c r="I366">
        <v>61</v>
      </c>
      <c r="J366">
        <v>1016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128</v>
      </c>
      <c r="S366">
        <v>0</v>
      </c>
      <c r="T366">
        <v>0</v>
      </c>
      <c r="U366">
        <v>0</v>
      </c>
      <c r="V366">
        <v>1620</v>
      </c>
      <c r="W366">
        <v>259</v>
      </c>
      <c r="X366">
        <v>753</v>
      </c>
      <c r="Y366">
        <v>0</v>
      </c>
      <c r="Z366">
        <f>2*2.59</f>
        <v>5.18</v>
      </c>
      <c r="AA366">
        <v>0</v>
      </c>
      <c r="AB366">
        <f>36*2.59</f>
        <v>93.24</v>
      </c>
      <c r="AC366">
        <v>0</v>
      </c>
      <c r="AD366">
        <v>1778</v>
      </c>
      <c r="AE366">
        <v>0</v>
      </c>
      <c r="AF366">
        <v>272</v>
      </c>
      <c r="AG366">
        <v>0</v>
      </c>
      <c r="AH366">
        <v>227</v>
      </c>
      <c r="AI366">
        <v>6</v>
      </c>
      <c r="AJ366">
        <v>0</v>
      </c>
      <c r="AK366">
        <f>SUM(H366:AJ366)</f>
        <v>6269.42</v>
      </c>
      <c r="AO366">
        <v>2.59</v>
      </c>
    </row>
    <row r="367" spans="1:41" x14ac:dyDescent="0.3">
      <c r="A367">
        <v>854</v>
      </c>
      <c r="C367" t="s">
        <v>91</v>
      </c>
      <c r="D367" t="s">
        <v>7</v>
      </c>
      <c r="E367">
        <v>2300585</v>
      </c>
      <c r="F367" s="1">
        <v>45264</v>
      </c>
      <c r="G367" s="1">
        <v>45271</v>
      </c>
      <c r="H367">
        <v>124</v>
      </c>
      <c r="I367">
        <v>678</v>
      </c>
      <c r="J367">
        <v>1935</v>
      </c>
      <c r="K367">
        <v>14</v>
      </c>
      <c r="L367">
        <v>24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324</v>
      </c>
      <c r="S367">
        <v>0</v>
      </c>
      <c r="T367">
        <v>0</v>
      </c>
      <c r="U367">
        <v>0</v>
      </c>
      <c r="V367">
        <v>2428</v>
      </c>
      <c r="W367">
        <v>1140</v>
      </c>
      <c r="X367">
        <v>1242</v>
      </c>
      <c r="Y367">
        <v>0</v>
      </c>
      <c r="Z367">
        <f>5*2.59</f>
        <v>12.95</v>
      </c>
      <c r="AA367">
        <v>0</v>
      </c>
      <c r="AB367">
        <f>91*2.59</f>
        <v>235.69</v>
      </c>
      <c r="AC367">
        <v>0</v>
      </c>
      <c r="AD367">
        <v>1682</v>
      </c>
      <c r="AE367">
        <v>0</v>
      </c>
      <c r="AF367">
        <v>919</v>
      </c>
      <c r="AG367">
        <v>0</v>
      </c>
      <c r="AH367">
        <v>905</v>
      </c>
      <c r="AI367">
        <v>58</v>
      </c>
      <c r="AJ367">
        <v>0</v>
      </c>
      <c r="AK367">
        <f t="shared" si="6"/>
        <v>11721.64</v>
      </c>
      <c r="AO367">
        <v>2.59</v>
      </c>
    </row>
    <row r="368" spans="1:41" x14ac:dyDescent="0.3">
      <c r="A368">
        <v>857</v>
      </c>
      <c r="C368" t="s">
        <v>91</v>
      </c>
      <c r="D368" t="s">
        <v>7</v>
      </c>
      <c r="E368">
        <v>2300585</v>
      </c>
      <c r="F368" s="1">
        <v>45272</v>
      </c>
      <c r="G368" s="1">
        <v>45278</v>
      </c>
      <c r="H368">
        <v>95</v>
      </c>
      <c r="I368">
        <v>213</v>
      </c>
      <c r="J368">
        <v>3517</v>
      </c>
      <c r="K368">
        <v>12</v>
      </c>
      <c r="L368">
        <v>58</v>
      </c>
      <c r="M368">
        <v>10</v>
      </c>
      <c r="N368">
        <v>0</v>
      </c>
      <c r="O368">
        <v>0</v>
      </c>
      <c r="P368">
        <v>0</v>
      </c>
      <c r="Q368">
        <v>0</v>
      </c>
      <c r="R368">
        <v>240</v>
      </c>
      <c r="S368">
        <v>0</v>
      </c>
      <c r="T368">
        <v>0</v>
      </c>
      <c r="U368">
        <v>0</v>
      </c>
      <c r="V368">
        <v>512</v>
      </c>
      <c r="W368">
        <v>542</v>
      </c>
      <c r="X368">
        <v>635</v>
      </c>
      <c r="Y368">
        <v>0</v>
      </c>
      <c r="Z368">
        <v>0</v>
      </c>
      <c r="AA368">
        <v>0</v>
      </c>
      <c r="AB368">
        <f>7*2.59</f>
        <v>18.13</v>
      </c>
      <c r="AC368">
        <v>0</v>
      </c>
      <c r="AD368">
        <v>1348</v>
      </c>
      <c r="AE368">
        <v>1</v>
      </c>
      <c r="AF368">
        <v>851</v>
      </c>
      <c r="AG368">
        <v>0</v>
      </c>
      <c r="AH368">
        <v>316</v>
      </c>
      <c r="AI368">
        <v>21</v>
      </c>
      <c r="AJ368">
        <v>0</v>
      </c>
      <c r="AK368">
        <f t="shared" si="6"/>
        <v>8389.130000000001</v>
      </c>
      <c r="AO368">
        <v>2.59</v>
      </c>
    </row>
    <row r="369" spans="1:41" x14ac:dyDescent="0.3">
      <c r="A369">
        <v>861</v>
      </c>
      <c r="C369" t="s">
        <v>83</v>
      </c>
      <c r="D369" t="s">
        <v>7</v>
      </c>
      <c r="E369">
        <v>2300462</v>
      </c>
      <c r="F369" s="1">
        <v>45254</v>
      </c>
      <c r="G369" s="1">
        <v>45261</v>
      </c>
      <c r="H369">
        <v>4</v>
      </c>
      <c r="I369">
        <v>23</v>
      </c>
      <c r="J369">
        <v>464</v>
      </c>
      <c r="K369">
        <v>6</v>
      </c>
      <c r="L369">
        <v>16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164</v>
      </c>
      <c r="S369">
        <v>0</v>
      </c>
      <c r="T369">
        <v>0</v>
      </c>
      <c r="U369">
        <v>0</v>
      </c>
      <c r="V369">
        <v>746</v>
      </c>
      <c r="W369">
        <v>422</v>
      </c>
      <c r="X369">
        <v>371</v>
      </c>
      <c r="Y369">
        <v>0</v>
      </c>
      <c r="Z369">
        <v>2.59</v>
      </c>
      <c r="AA369">
        <v>0</v>
      </c>
      <c r="AB369">
        <f>20*2.59</f>
        <v>51.8</v>
      </c>
      <c r="AC369">
        <v>0</v>
      </c>
      <c r="AD369">
        <v>498</v>
      </c>
      <c r="AE369">
        <v>0</v>
      </c>
      <c r="AF369">
        <v>291</v>
      </c>
      <c r="AG369">
        <v>0</v>
      </c>
      <c r="AH369">
        <v>510</v>
      </c>
      <c r="AI369">
        <v>9</v>
      </c>
      <c r="AJ369">
        <v>0</v>
      </c>
      <c r="AK369">
        <f t="shared" si="6"/>
        <v>3578.3900000000003</v>
      </c>
      <c r="AO369">
        <v>2.59</v>
      </c>
    </row>
    <row r="370" spans="1:41" x14ac:dyDescent="0.3">
      <c r="A370">
        <v>864</v>
      </c>
      <c r="C370" t="s">
        <v>83</v>
      </c>
      <c r="D370" t="s">
        <v>7</v>
      </c>
      <c r="E370">
        <v>2300462</v>
      </c>
      <c r="F370" s="1">
        <v>45272</v>
      </c>
      <c r="G370" s="1">
        <v>45278</v>
      </c>
      <c r="H370">
        <v>1</v>
      </c>
      <c r="I370">
        <v>129</v>
      </c>
      <c r="J370">
        <v>787</v>
      </c>
      <c r="K370">
        <v>12</v>
      </c>
      <c r="L370">
        <v>53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332</v>
      </c>
      <c r="S370">
        <v>0</v>
      </c>
      <c r="T370">
        <v>0</v>
      </c>
      <c r="U370">
        <v>0</v>
      </c>
      <c r="V370">
        <v>651</v>
      </c>
      <c r="W370">
        <v>189</v>
      </c>
      <c r="X370">
        <v>484</v>
      </c>
      <c r="Y370">
        <v>0</v>
      </c>
      <c r="Z370">
        <f>2*2.59</f>
        <v>5.18</v>
      </c>
      <c r="AA370">
        <v>0</v>
      </c>
      <c r="AB370">
        <f>42*2.59</f>
        <v>108.78</v>
      </c>
      <c r="AC370">
        <v>0</v>
      </c>
      <c r="AD370">
        <v>2244</v>
      </c>
      <c r="AE370">
        <v>0</v>
      </c>
      <c r="AF370">
        <v>150</v>
      </c>
      <c r="AG370">
        <v>0</v>
      </c>
      <c r="AH370">
        <v>525</v>
      </c>
      <c r="AI370">
        <v>17</v>
      </c>
      <c r="AJ370">
        <v>0</v>
      </c>
      <c r="AK370">
        <f t="shared" si="6"/>
        <v>5687.96</v>
      </c>
      <c r="AO370">
        <v>2.59</v>
      </c>
    </row>
    <row r="371" spans="1:41" x14ac:dyDescent="0.3">
      <c r="A371">
        <v>867</v>
      </c>
      <c r="C371" t="s">
        <v>4</v>
      </c>
      <c r="D371" t="s">
        <v>7</v>
      </c>
      <c r="E371">
        <v>2300464</v>
      </c>
      <c r="F371" s="1">
        <v>45258</v>
      </c>
      <c r="G371" s="1">
        <v>45264</v>
      </c>
      <c r="H371">
        <v>21</v>
      </c>
      <c r="I371">
        <v>49</v>
      </c>
      <c r="J371">
        <v>602</v>
      </c>
      <c r="K371">
        <v>2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188</v>
      </c>
      <c r="S371">
        <v>0</v>
      </c>
      <c r="T371">
        <v>0</v>
      </c>
      <c r="U371">
        <v>0</v>
      </c>
      <c r="V371">
        <v>1460</v>
      </c>
      <c r="W371">
        <v>147</v>
      </c>
      <c r="X371">
        <v>56</v>
      </c>
      <c r="Y371">
        <v>0</v>
      </c>
      <c r="Z371">
        <f>2.59*2</f>
        <v>5.18</v>
      </c>
      <c r="AA371">
        <v>0</v>
      </c>
      <c r="AB371">
        <f>42*2.59</f>
        <v>108.78</v>
      </c>
      <c r="AC371">
        <v>0</v>
      </c>
      <c r="AD371">
        <v>4834</v>
      </c>
      <c r="AE371">
        <v>0</v>
      </c>
      <c r="AF371">
        <v>21</v>
      </c>
      <c r="AG371">
        <v>0</v>
      </c>
      <c r="AH371">
        <v>112</v>
      </c>
      <c r="AI371">
        <v>8</v>
      </c>
      <c r="AJ371">
        <v>0</v>
      </c>
      <c r="AK371">
        <f t="shared" si="6"/>
        <v>7615.96</v>
      </c>
      <c r="AO371">
        <v>2.59</v>
      </c>
    </row>
    <row r="372" spans="1:41" x14ac:dyDescent="0.3">
      <c r="A372">
        <v>870</v>
      </c>
      <c r="C372" t="s">
        <v>4</v>
      </c>
      <c r="D372" t="s">
        <v>7</v>
      </c>
      <c r="E372">
        <v>2300464</v>
      </c>
      <c r="F372" s="1">
        <v>45265</v>
      </c>
      <c r="G372" s="1">
        <v>45271</v>
      </c>
      <c r="H372">
        <v>111</v>
      </c>
      <c r="I372">
        <v>67</v>
      </c>
      <c r="J372">
        <v>1661</v>
      </c>
      <c r="K372">
        <v>6</v>
      </c>
      <c r="L372">
        <v>50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152</v>
      </c>
      <c r="S372">
        <v>0</v>
      </c>
      <c r="T372">
        <v>0</v>
      </c>
      <c r="U372">
        <v>0</v>
      </c>
      <c r="V372">
        <v>2288</v>
      </c>
      <c r="W372">
        <v>422</v>
      </c>
      <c r="X372">
        <v>1012</v>
      </c>
      <c r="Y372">
        <v>0</v>
      </c>
      <c r="Z372">
        <f>2.59</f>
        <v>2.59</v>
      </c>
      <c r="AA372">
        <v>0</v>
      </c>
      <c r="AB372">
        <f>15*2.59</f>
        <v>38.849999999999994</v>
      </c>
      <c r="AC372">
        <v>0</v>
      </c>
      <c r="AD372">
        <v>1406</v>
      </c>
      <c r="AE372">
        <v>0</v>
      </c>
      <c r="AF372">
        <v>513</v>
      </c>
      <c r="AG372">
        <v>0</v>
      </c>
      <c r="AH372">
        <v>432</v>
      </c>
      <c r="AI372">
        <v>19</v>
      </c>
      <c r="AJ372">
        <v>0</v>
      </c>
      <c r="AK372">
        <f t="shared" si="6"/>
        <v>8180.4400000000005</v>
      </c>
      <c r="AO372">
        <v>2.59</v>
      </c>
    </row>
    <row r="373" spans="1:41" x14ac:dyDescent="0.3">
      <c r="A373">
        <v>873</v>
      </c>
      <c r="C373" t="s">
        <v>4</v>
      </c>
      <c r="D373" t="s">
        <v>7</v>
      </c>
      <c r="E373">
        <v>2300464</v>
      </c>
      <c r="F373" s="1">
        <v>45272</v>
      </c>
      <c r="G373" s="1">
        <v>45278</v>
      </c>
      <c r="H373">
        <v>60</v>
      </c>
      <c r="I373">
        <v>23</v>
      </c>
      <c r="J373">
        <v>651</v>
      </c>
      <c r="K373">
        <v>9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92</v>
      </c>
      <c r="S373">
        <v>0</v>
      </c>
      <c r="T373">
        <v>0</v>
      </c>
      <c r="U373">
        <v>0</v>
      </c>
      <c r="V373">
        <v>123</v>
      </c>
      <c r="W373">
        <v>5</v>
      </c>
      <c r="X373">
        <v>355</v>
      </c>
      <c r="Y373">
        <v>0</v>
      </c>
      <c r="Z373">
        <v>2.59</v>
      </c>
      <c r="AA373">
        <v>0</v>
      </c>
      <c r="AB373">
        <f>16*2.59</f>
        <v>41.44</v>
      </c>
      <c r="AC373">
        <v>0</v>
      </c>
      <c r="AD373">
        <v>310</v>
      </c>
      <c r="AE373">
        <v>3</v>
      </c>
      <c r="AF373">
        <v>31</v>
      </c>
      <c r="AG373">
        <v>0</v>
      </c>
      <c r="AH373">
        <v>20</v>
      </c>
      <c r="AI373">
        <v>2</v>
      </c>
      <c r="AJ373">
        <v>0</v>
      </c>
      <c r="AK373">
        <f t="shared" si="6"/>
        <v>1730.03</v>
      </c>
      <c r="AO373">
        <v>2.59</v>
      </c>
    </row>
    <row r="374" spans="1:41" x14ac:dyDescent="0.3">
      <c r="A374">
        <v>876</v>
      </c>
      <c r="C374" t="s">
        <v>78</v>
      </c>
      <c r="D374" t="s">
        <v>7</v>
      </c>
      <c r="E374">
        <v>2300463</v>
      </c>
      <c r="F374" s="1">
        <v>45271</v>
      </c>
      <c r="G374" s="1">
        <v>45278</v>
      </c>
      <c r="H374">
        <v>29</v>
      </c>
      <c r="I374">
        <v>621</v>
      </c>
      <c r="J374">
        <v>1529</v>
      </c>
      <c r="K374">
        <v>36</v>
      </c>
      <c r="L374">
        <v>130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192</v>
      </c>
      <c r="S374">
        <v>0</v>
      </c>
      <c r="T374">
        <v>0</v>
      </c>
      <c r="U374">
        <v>0</v>
      </c>
      <c r="V374">
        <v>1057</v>
      </c>
      <c r="W374">
        <v>1007</v>
      </c>
      <c r="X374">
        <v>1491</v>
      </c>
      <c r="Y374">
        <v>0</v>
      </c>
      <c r="Z374">
        <v>0</v>
      </c>
      <c r="AA374">
        <v>0</v>
      </c>
      <c r="AB374">
        <f>8*2.59</f>
        <v>20.72</v>
      </c>
      <c r="AC374">
        <v>0</v>
      </c>
      <c r="AD374">
        <v>2030</v>
      </c>
      <c r="AE374">
        <v>0</v>
      </c>
      <c r="AF374">
        <v>531</v>
      </c>
      <c r="AG374">
        <v>0</v>
      </c>
      <c r="AH374">
        <v>765</v>
      </c>
      <c r="AI374">
        <v>46</v>
      </c>
      <c r="AJ374">
        <v>0</v>
      </c>
      <c r="AK374">
        <f t="shared" si="6"/>
        <v>9487.7200000000012</v>
      </c>
      <c r="AO374">
        <v>2.59</v>
      </c>
    </row>
    <row r="375" spans="1:41" x14ac:dyDescent="0.3">
      <c r="A375">
        <v>879</v>
      </c>
      <c r="C375" t="s">
        <v>71</v>
      </c>
      <c r="D375" t="s">
        <v>7</v>
      </c>
      <c r="E375">
        <v>2300465</v>
      </c>
      <c r="F375" s="1">
        <v>45258</v>
      </c>
      <c r="G375" s="1">
        <v>45265</v>
      </c>
      <c r="H375">
        <v>271</v>
      </c>
      <c r="I375">
        <v>0</v>
      </c>
      <c r="J375">
        <v>15657</v>
      </c>
      <c r="K375">
        <v>17</v>
      </c>
      <c r="L375">
        <v>0</v>
      </c>
      <c r="M375">
        <v>299</v>
      </c>
      <c r="N375">
        <v>0</v>
      </c>
      <c r="O375">
        <v>0</v>
      </c>
      <c r="P375">
        <v>0</v>
      </c>
      <c r="Q375">
        <v>0</v>
      </c>
      <c r="R375">
        <v>40</v>
      </c>
      <c r="S375">
        <v>0</v>
      </c>
      <c r="T375">
        <v>0</v>
      </c>
      <c r="U375">
        <v>0</v>
      </c>
      <c r="V375">
        <v>694</v>
      </c>
      <c r="W375">
        <v>0</v>
      </c>
      <c r="X375">
        <v>2820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422</v>
      </c>
      <c r="AE375">
        <v>0</v>
      </c>
      <c r="AF375">
        <v>212</v>
      </c>
      <c r="AG375">
        <v>0</v>
      </c>
      <c r="AH375">
        <v>21</v>
      </c>
      <c r="AI375">
        <v>0</v>
      </c>
      <c r="AJ375">
        <v>0</v>
      </c>
      <c r="AK375">
        <f t="shared" si="6"/>
        <v>20453</v>
      </c>
      <c r="AO375">
        <v>2.59</v>
      </c>
    </row>
    <row r="376" spans="1:41" x14ac:dyDescent="0.3">
      <c r="A376">
        <v>882</v>
      </c>
      <c r="C376" t="s">
        <v>71</v>
      </c>
      <c r="D376" t="s">
        <v>7</v>
      </c>
      <c r="E376">
        <v>2300465</v>
      </c>
      <c r="F376" s="1">
        <v>45265</v>
      </c>
      <c r="G376" s="1">
        <v>45272</v>
      </c>
      <c r="H376">
        <v>367</v>
      </c>
      <c r="I376">
        <v>0</v>
      </c>
      <c r="J376">
        <v>16610</v>
      </c>
      <c r="K376">
        <v>21</v>
      </c>
      <c r="L376">
        <v>4</v>
      </c>
      <c r="M376">
        <v>519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463</v>
      </c>
      <c r="W376">
        <v>0</v>
      </c>
      <c r="X376">
        <v>2396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270</v>
      </c>
      <c r="AE376">
        <v>2</v>
      </c>
      <c r="AF376">
        <v>430</v>
      </c>
      <c r="AG376">
        <v>0</v>
      </c>
      <c r="AH376">
        <v>0</v>
      </c>
      <c r="AI376">
        <v>0</v>
      </c>
      <c r="AJ376">
        <v>0</v>
      </c>
      <c r="AK376">
        <f t="shared" si="6"/>
        <v>21082</v>
      </c>
      <c r="AO376">
        <v>2.59</v>
      </c>
    </row>
    <row r="377" spans="1:41" x14ac:dyDescent="0.3">
      <c r="A377">
        <v>885</v>
      </c>
      <c r="C377" t="s">
        <v>71</v>
      </c>
      <c r="D377" t="s">
        <v>7</v>
      </c>
      <c r="E377">
        <v>2300465</v>
      </c>
      <c r="F377" s="1">
        <v>45272</v>
      </c>
      <c r="G377" s="1">
        <v>45279</v>
      </c>
      <c r="H377">
        <v>304</v>
      </c>
      <c r="I377">
        <v>8</v>
      </c>
      <c r="J377">
        <v>14547</v>
      </c>
      <c r="K377">
        <v>35</v>
      </c>
      <c r="L377">
        <v>1745</v>
      </c>
      <c r="M377">
        <v>984</v>
      </c>
      <c r="N377">
        <v>0</v>
      </c>
      <c r="O377">
        <v>608</v>
      </c>
      <c r="P377">
        <v>0</v>
      </c>
      <c r="Q377">
        <v>0</v>
      </c>
      <c r="R377">
        <v>1488</v>
      </c>
      <c r="S377">
        <v>0</v>
      </c>
      <c r="T377">
        <v>0</v>
      </c>
      <c r="U377">
        <v>0</v>
      </c>
      <c r="V377">
        <v>1070</v>
      </c>
      <c r="W377">
        <v>0</v>
      </c>
      <c r="X377">
        <v>1660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112</v>
      </c>
      <c r="AE377">
        <v>0</v>
      </c>
      <c r="AF377">
        <v>608</v>
      </c>
      <c r="AG377">
        <v>0</v>
      </c>
      <c r="AH377">
        <v>32</v>
      </c>
      <c r="AI377">
        <v>0</v>
      </c>
      <c r="AJ377">
        <v>0</v>
      </c>
      <c r="AK377">
        <f t="shared" si="6"/>
        <v>23201</v>
      </c>
      <c r="AO377">
        <v>2.59</v>
      </c>
    </row>
    <row r="378" spans="1:41" x14ac:dyDescent="0.3">
      <c r="A378">
        <v>888</v>
      </c>
      <c r="C378" t="s">
        <v>96</v>
      </c>
      <c r="D378" t="s">
        <v>7</v>
      </c>
      <c r="E378">
        <v>2400479</v>
      </c>
      <c r="F378" s="1">
        <v>45320</v>
      </c>
      <c r="G378" s="1">
        <v>45327</v>
      </c>
      <c r="H378">
        <v>664</v>
      </c>
      <c r="I378">
        <v>77</v>
      </c>
      <c r="J378">
        <v>14809</v>
      </c>
      <c r="K378">
        <v>109</v>
      </c>
      <c r="L378">
        <v>12186</v>
      </c>
      <c r="M378">
        <v>334</v>
      </c>
      <c r="N378">
        <v>151</v>
      </c>
      <c r="O378">
        <v>55</v>
      </c>
      <c r="P378">
        <v>25</v>
      </c>
      <c r="Q378">
        <v>0</v>
      </c>
      <c r="R378">
        <v>2372</v>
      </c>
      <c r="S378">
        <v>0</v>
      </c>
      <c r="T378">
        <v>0</v>
      </c>
      <c r="U378">
        <v>0</v>
      </c>
      <c r="V378">
        <v>832</v>
      </c>
      <c r="W378">
        <v>0</v>
      </c>
      <c r="X378">
        <v>12198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532</v>
      </c>
      <c r="AE378">
        <v>0</v>
      </c>
      <c r="AF378">
        <v>276</v>
      </c>
      <c r="AG378">
        <v>1</v>
      </c>
      <c r="AH378">
        <v>383</v>
      </c>
      <c r="AI378">
        <v>0</v>
      </c>
      <c r="AJ378">
        <v>0</v>
      </c>
      <c r="AK378">
        <f t="shared" si="6"/>
        <v>45004</v>
      </c>
      <c r="AO378">
        <v>2.59</v>
      </c>
    </row>
    <row r="379" spans="1:41" x14ac:dyDescent="0.3">
      <c r="A379">
        <v>890</v>
      </c>
      <c r="C379" t="s">
        <v>93</v>
      </c>
      <c r="D379" t="s">
        <v>7</v>
      </c>
      <c r="E379" s="3">
        <v>2400479</v>
      </c>
      <c r="F379" s="1">
        <v>45323</v>
      </c>
      <c r="G379" s="1">
        <v>45328</v>
      </c>
      <c r="H379">
        <v>120</v>
      </c>
      <c r="I379">
        <v>126</v>
      </c>
      <c r="J379">
        <v>2504</v>
      </c>
      <c r="K379">
        <v>6</v>
      </c>
      <c r="L379">
        <v>90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128</v>
      </c>
      <c r="S379">
        <v>0</v>
      </c>
      <c r="T379">
        <v>0</v>
      </c>
      <c r="U379">
        <v>0</v>
      </c>
      <c r="V379">
        <v>732</v>
      </c>
      <c r="W379">
        <v>89</v>
      </c>
      <c r="X379">
        <v>293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412</v>
      </c>
      <c r="AE379">
        <v>0</v>
      </c>
      <c r="AF379">
        <v>288</v>
      </c>
      <c r="AG379">
        <v>0</v>
      </c>
      <c r="AH379">
        <v>442</v>
      </c>
      <c r="AI379">
        <v>0</v>
      </c>
      <c r="AJ379">
        <v>0</v>
      </c>
      <c r="AK379">
        <f t="shared" si="6"/>
        <v>5230</v>
      </c>
      <c r="AO379">
        <v>2.59</v>
      </c>
    </row>
    <row r="380" spans="1:41" x14ac:dyDescent="0.3">
      <c r="A380">
        <v>892</v>
      </c>
      <c r="C380" t="s">
        <v>96</v>
      </c>
      <c r="D380" t="s">
        <v>7</v>
      </c>
      <c r="E380">
        <v>2400479</v>
      </c>
      <c r="F380" s="1">
        <v>45339</v>
      </c>
      <c r="G380" s="1">
        <v>45342</v>
      </c>
      <c r="H380">
        <v>411</v>
      </c>
      <c r="I380">
        <v>8</v>
      </c>
      <c r="J380">
        <v>10370</v>
      </c>
      <c r="K380">
        <v>55</v>
      </c>
      <c r="L380">
        <v>4771</v>
      </c>
      <c r="M380">
        <v>279</v>
      </c>
      <c r="N380">
        <v>4</v>
      </c>
      <c r="O380">
        <v>0</v>
      </c>
      <c r="P380">
        <v>208</v>
      </c>
      <c r="Q380">
        <v>0</v>
      </c>
      <c r="R380">
        <v>1376</v>
      </c>
      <c r="S380">
        <v>0</v>
      </c>
      <c r="T380">
        <v>522</v>
      </c>
      <c r="U380">
        <v>0</v>
      </c>
      <c r="V380">
        <v>319</v>
      </c>
      <c r="W380">
        <v>0</v>
      </c>
      <c r="X380">
        <v>1124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90</v>
      </c>
      <c r="AE380">
        <v>0</v>
      </c>
      <c r="AF380">
        <v>5</v>
      </c>
      <c r="AG380">
        <v>0</v>
      </c>
      <c r="AH380">
        <v>26</v>
      </c>
      <c r="AI380">
        <v>0</v>
      </c>
      <c r="AJ380">
        <v>0</v>
      </c>
      <c r="AK380">
        <f t="shared" si="6"/>
        <v>19568</v>
      </c>
    </row>
    <row r="381" spans="1:41" x14ac:dyDescent="0.3">
      <c r="A381">
        <v>894</v>
      </c>
      <c r="C381" t="s">
        <v>96</v>
      </c>
      <c r="D381" t="s">
        <v>7</v>
      </c>
      <c r="E381">
        <v>2400479</v>
      </c>
      <c r="F381" s="1">
        <v>45331</v>
      </c>
      <c r="G381" s="1">
        <v>45337</v>
      </c>
      <c r="H381">
        <v>351</v>
      </c>
      <c r="I381">
        <v>2</v>
      </c>
      <c r="J381">
        <v>21760</v>
      </c>
      <c r="K381">
        <v>73</v>
      </c>
      <c r="L381">
        <v>15175</v>
      </c>
      <c r="M381">
        <v>750</v>
      </c>
      <c r="N381">
        <v>707</v>
      </c>
      <c r="O381">
        <v>76</v>
      </c>
      <c r="P381">
        <v>192</v>
      </c>
      <c r="Q381">
        <v>0</v>
      </c>
      <c r="R381">
        <v>1232</v>
      </c>
      <c r="S381">
        <v>0</v>
      </c>
      <c r="T381">
        <v>0</v>
      </c>
      <c r="U381">
        <v>0</v>
      </c>
      <c r="V381">
        <v>266</v>
      </c>
      <c r="W381">
        <v>0</v>
      </c>
      <c r="X381">
        <v>2575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120</v>
      </c>
      <c r="AE381">
        <v>8</v>
      </c>
      <c r="AF381">
        <v>12</v>
      </c>
      <c r="AG381">
        <v>0</v>
      </c>
      <c r="AH381">
        <v>34</v>
      </c>
      <c r="AI381">
        <v>0</v>
      </c>
      <c r="AJ381">
        <v>0</v>
      </c>
      <c r="AK381">
        <f t="shared" si="6"/>
        <v>43333</v>
      </c>
    </row>
    <row r="382" spans="1:41" x14ac:dyDescent="0.3">
      <c r="A382">
        <v>897</v>
      </c>
      <c r="C382" t="s">
        <v>96</v>
      </c>
      <c r="D382" t="s">
        <v>7</v>
      </c>
      <c r="E382">
        <v>2400479</v>
      </c>
      <c r="F382" s="1">
        <v>45329</v>
      </c>
      <c r="G382" s="1">
        <v>45331</v>
      </c>
      <c r="H382">
        <v>87</v>
      </c>
      <c r="I382">
        <v>0</v>
      </c>
      <c r="J382">
        <v>4533</v>
      </c>
      <c r="K382">
        <v>3</v>
      </c>
      <c r="L382">
        <v>12</v>
      </c>
      <c r="M382">
        <v>17</v>
      </c>
      <c r="N382">
        <v>0</v>
      </c>
      <c r="O382">
        <v>0</v>
      </c>
      <c r="P382">
        <v>25</v>
      </c>
      <c r="Q382">
        <v>0</v>
      </c>
      <c r="R382">
        <v>20</v>
      </c>
      <c r="S382">
        <v>0</v>
      </c>
      <c r="T382">
        <v>4</v>
      </c>
      <c r="U382">
        <v>0</v>
      </c>
      <c r="V382">
        <v>262</v>
      </c>
      <c r="W382">
        <v>0</v>
      </c>
      <c r="X382">
        <v>2800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16</v>
      </c>
      <c r="AE382">
        <v>0</v>
      </c>
      <c r="AF382">
        <v>17</v>
      </c>
      <c r="AG382">
        <v>0</v>
      </c>
      <c r="AH382">
        <v>0</v>
      </c>
      <c r="AI382">
        <v>0</v>
      </c>
      <c r="AJ382">
        <v>0</v>
      </c>
      <c r="AK382">
        <f t="shared" si="6"/>
        <v>7796</v>
      </c>
    </row>
    <row r="383" spans="1:41" x14ac:dyDescent="0.3">
      <c r="A383">
        <v>899</v>
      </c>
      <c r="C383" t="s">
        <v>96</v>
      </c>
      <c r="D383" t="s">
        <v>7</v>
      </c>
      <c r="E383">
        <v>2400479</v>
      </c>
      <c r="F383" s="1">
        <v>45320</v>
      </c>
      <c r="G383" s="1">
        <v>45327</v>
      </c>
      <c r="H383">
        <v>664</v>
      </c>
      <c r="I383">
        <v>77</v>
      </c>
      <c r="J383">
        <v>14809</v>
      </c>
      <c r="K383">
        <v>109</v>
      </c>
      <c r="L383">
        <v>12186</v>
      </c>
      <c r="M383">
        <v>334</v>
      </c>
      <c r="N383">
        <v>151</v>
      </c>
      <c r="O383">
        <v>55</v>
      </c>
      <c r="P383">
        <v>25</v>
      </c>
      <c r="Q383">
        <v>0</v>
      </c>
      <c r="R383">
        <v>2372</v>
      </c>
      <c r="S383">
        <v>0</v>
      </c>
      <c r="T383">
        <v>0</v>
      </c>
      <c r="U383">
        <v>0</v>
      </c>
      <c r="V383">
        <v>832</v>
      </c>
      <c r="W383">
        <v>0</v>
      </c>
      <c r="X383">
        <v>12198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532</v>
      </c>
      <c r="AE383">
        <v>0</v>
      </c>
      <c r="AF383">
        <v>276</v>
      </c>
      <c r="AG383">
        <v>1</v>
      </c>
      <c r="AH383">
        <v>383</v>
      </c>
      <c r="AI383">
        <v>0</v>
      </c>
      <c r="AJ383">
        <v>0</v>
      </c>
      <c r="AK383">
        <f t="shared" si="6"/>
        <v>45004</v>
      </c>
    </row>
    <row r="384" spans="1:41" x14ac:dyDescent="0.3">
      <c r="A384">
        <v>901</v>
      </c>
      <c r="C384" t="s">
        <v>96</v>
      </c>
      <c r="D384" t="s">
        <v>7</v>
      </c>
      <c r="E384">
        <v>2400479</v>
      </c>
      <c r="F384" s="1">
        <v>45311</v>
      </c>
      <c r="G384" s="1">
        <v>45319</v>
      </c>
      <c r="H384">
        <v>480</v>
      </c>
      <c r="I384">
        <v>11</v>
      </c>
      <c r="J384">
        <v>32565</v>
      </c>
      <c r="K384">
        <v>62</v>
      </c>
      <c r="L384">
        <v>1657</v>
      </c>
      <c r="M384">
        <v>196</v>
      </c>
      <c r="N384">
        <v>92</v>
      </c>
      <c r="O384">
        <v>0</v>
      </c>
      <c r="P384">
        <v>454</v>
      </c>
      <c r="Q384">
        <v>0</v>
      </c>
      <c r="R384">
        <v>864</v>
      </c>
      <c r="S384">
        <v>0</v>
      </c>
      <c r="T384">
        <v>259</v>
      </c>
      <c r="U384">
        <v>1</v>
      </c>
      <c r="V384">
        <v>497</v>
      </c>
      <c r="W384">
        <v>1</v>
      </c>
      <c r="X384">
        <v>3363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500</v>
      </c>
      <c r="AE384">
        <v>0</v>
      </c>
      <c r="AF384">
        <v>226</v>
      </c>
      <c r="AG384">
        <v>0</v>
      </c>
      <c r="AH384">
        <v>54</v>
      </c>
      <c r="AI384">
        <v>0</v>
      </c>
      <c r="AJ384">
        <v>0</v>
      </c>
      <c r="AK384">
        <f t="shared" si="6"/>
        <v>41282</v>
      </c>
    </row>
    <row r="385" spans="1:37" x14ac:dyDescent="0.3">
      <c r="A385">
        <v>903</v>
      </c>
      <c r="C385" t="s">
        <v>96</v>
      </c>
      <c r="D385" t="s">
        <v>7</v>
      </c>
      <c r="E385">
        <v>2400479</v>
      </c>
      <c r="F385" s="1">
        <v>45302</v>
      </c>
      <c r="G385" s="1">
        <v>45307</v>
      </c>
      <c r="H385">
        <v>0</v>
      </c>
      <c r="I385">
        <v>0</v>
      </c>
      <c r="J385">
        <v>34681</v>
      </c>
      <c r="K385">
        <v>23</v>
      </c>
      <c r="L385">
        <v>0</v>
      </c>
      <c r="M385">
        <v>433</v>
      </c>
      <c r="N385">
        <v>0</v>
      </c>
      <c r="O385">
        <v>0</v>
      </c>
      <c r="P385">
        <v>959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f t="shared" si="6"/>
        <v>36096</v>
      </c>
    </row>
    <row r="386" spans="1:37" x14ac:dyDescent="0.3">
      <c r="A386">
        <v>905</v>
      </c>
      <c r="C386" t="s">
        <v>96</v>
      </c>
      <c r="D386" t="s">
        <v>7</v>
      </c>
      <c r="E386">
        <v>2300553</v>
      </c>
      <c r="F386" s="1">
        <v>45286</v>
      </c>
      <c r="G386" s="1">
        <v>45292</v>
      </c>
      <c r="H386">
        <v>1342</v>
      </c>
      <c r="I386">
        <v>0</v>
      </c>
      <c r="J386">
        <v>14042</v>
      </c>
      <c r="K386">
        <v>47</v>
      </c>
      <c r="L386">
        <v>22230</v>
      </c>
      <c r="M386">
        <v>743</v>
      </c>
      <c r="N386">
        <v>0</v>
      </c>
      <c r="O386">
        <v>0</v>
      </c>
      <c r="P386">
        <v>1006</v>
      </c>
      <c r="Q386">
        <v>0</v>
      </c>
      <c r="R386">
        <v>692</v>
      </c>
      <c r="S386">
        <v>0</v>
      </c>
      <c r="T386">
        <v>463</v>
      </c>
      <c r="U386">
        <v>0</v>
      </c>
      <c r="V386">
        <v>426</v>
      </c>
      <c r="W386">
        <v>0</v>
      </c>
      <c r="X386">
        <v>853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296</v>
      </c>
      <c r="AE386">
        <v>18</v>
      </c>
      <c r="AF386">
        <v>9</v>
      </c>
      <c r="AG386">
        <v>0</v>
      </c>
      <c r="AH386">
        <v>3</v>
      </c>
      <c r="AI386">
        <v>0</v>
      </c>
      <c r="AJ386">
        <v>0</v>
      </c>
      <c r="AK386">
        <f t="shared" si="6"/>
        <v>42170</v>
      </c>
    </row>
    <row r="387" spans="1:37" x14ac:dyDescent="0.3">
      <c r="A387">
        <v>907</v>
      </c>
      <c r="C387" t="s">
        <v>84</v>
      </c>
      <c r="D387" t="s">
        <v>7</v>
      </c>
      <c r="E387">
        <v>2400484</v>
      </c>
      <c r="F387" s="1">
        <v>45297</v>
      </c>
      <c r="G387" s="1">
        <v>45305</v>
      </c>
      <c r="H387">
        <v>607</v>
      </c>
      <c r="I387">
        <v>0</v>
      </c>
      <c r="J387">
        <v>19582</v>
      </c>
      <c r="K387">
        <v>18</v>
      </c>
      <c r="L387">
        <v>1691</v>
      </c>
      <c r="M387">
        <v>179</v>
      </c>
      <c r="N387">
        <v>0</v>
      </c>
      <c r="O387">
        <v>0</v>
      </c>
      <c r="P387">
        <v>48</v>
      </c>
      <c r="Q387">
        <v>0</v>
      </c>
      <c r="R387">
        <v>92</v>
      </c>
      <c r="S387">
        <v>0</v>
      </c>
      <c r="T387">
        <v>3973</v>
      </c>
      <c r="U387">
        <v>0</v>
      </c>
      <c r="V387">
        <v>839</v>
      </c>
      <c r="W387">
        <v>0</v>
      </c>
      <c r="X387">
        <v>7873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306</v>
      </c>
      <c r="AE387">
        <v>20</v>
      </c>
      <c r="AF387">
        <v>266</v>
      </c>
      <c r="AG387">
        <v>0</v>
      </c>
      <c r="AH387">
        <v>10</v>
      </c>
      <c r="AI387">
        <v>0</v>
      </c>
      <c r="AJ387">
        <v>0</v>
      </c>
      <c r="AK387">
        <f t="shared" si="6"/>
        <v>35504</v>
      </c>
    </row>
    <row r="388" spans="1:37" x14ac:dyDescent="0.3">
      <c r="A388">
        <v>909</v>
      </c>
      <c r="C388" t="s">
        <v>84</v>
      </c>
      <c r="D388" t="s">
        <v>7</v>
      </c>
      <c r="E388">
        <v>2300550</v>
      </c>
      <c r="F388" s="1">
        <v>45289</v>
      </c>
      <c r="G388" s="1">
        <v>45295</v>
      </c>
      <c r="H388">
        <v>229</v>
      </c>
      <c r="I388">
        <v>0</v>
      </c>
      <c r="J388">
        <v>19330</v>
      </c>
      <c r="K388">
        <v>32</v>
      </c>
      <c r="L388">
        <v>101</v>
      </c>
      <c r="M388">
        <v>200</v>
      </c>
      <c r="N388">
        <v>0</v>
      </c>
      <c r="O388">
        <v>0</v>
      </c>
      <c r="P388">
        <v>23</v>
      </c>
      <c r="Q388">
        <v>0</v>
      </c>
      <c r="R388">
        <v>120</v>
      </c>
      <c r="S388">
        <v>0</v>
      </c>
      <c r="T388">
        <v>0</v>
      </c>
      <c r="U388">
        <v>0</v>
      </c>
      <c r="V388">
        <v>720</v>
      </c>
      <c r="W388">
        <v>0</v>
      </c>
      <c r="X388">
        <v>13747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172</v>
      </c>
      <c r="AE388">
        <v>0</v>
      </c>
      <c r="AF388">
        <v>369</v>
      </c>
      <c r="AG388">
        <v>0</v>
      </c>
      <c r="AH388">
        <v>1</v>
      </c>
      <c r="AI388">
        <v>0</v>
      </c>
      <c r="AJ388">
        <v>0</v>
      </c>
      <c r="AK388">
        <f t="shared" si="6"/>
        <v>35044</v>
      </c>
    </row>
    <row r="389" spans="1:37" x14ac:dyDescent="0.3">
      <c r="A389">
        <v>911</v>
      </c>
      <c r="C389" t="s">
        <v>84</v>
      </c>
      <c r="D389" t="s">
        <v>7</v>
      </c>
      <c r="E389">
        <v>2400479</v>
      </c>
      <c r="F389" s="1">
        <v>45330</v>
      </c>
      <c r="G389" s="1">
        <v>45336</v>
      </c>
      <c r="H389">
        <v>240</v>
      </c>
      <c r="I389">
        <v>4</v>
      </c>
      <c r="J389">
        <v>8667</v>
      </c>
      <c r="K389">
        <v>102</v>
      </c>
      <c r="L389">
        <v>5780</v>
      </c>
      <c r="M389">
        <v>502</v>
      </c>
      <c r="N389">
        <v>52</v>
      </c>
      <c r="O389">
        <v>0</v>
      </c>
      <c r="P389">
        <v>13</v>
      </c>
      <c r="Q389">
        <v>0</v>
      </c>
      <c r="R389">
        <v>2380</v>
      </c>
      <c r="S389">
        <v>0</v>
      </c>
      <c r="T389">
        <v>0</v>
      </c>
      <c r="U389">
        <v>0</v>
      </c>
      <c r="V389">
        <v>598</v>
      </c>
      <c r="W389">
        <v>0</v>
      </c>
      <c r="X389">
        <v>5866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216</v>
      </c>
      <c r="AE389">
        <v>0</v>
      </c>
      <c r="AF389">
        <v>32</v>
      </c>
      <c r="AG389">
        <v>0</v>
      </c>
      <c r="AH389">
        <v>58</v>
      </c>
      <c r="AI389">
        <v>0</v>
      </c>
      <c r="AJ389">
        <v>0</v>
      </c>
      <c r="AK389">
        <f t="shared" si="6"/>
        <v>24510</v>
      </c>
    </row>
    <row r="390" spans="1:37" x14ac:dyDescent="0.3">
      <c r="A390">
        <v>913</v>
      </c>
      <c r="C390" t="s">
        <v>93</v>
      </c>
      <c r="D390" t="s">
        <v>7</v>
      </c>
      <c r="E390">
        <v>2400479</v>
      </c>
      <c r="F390" s="1">
        <v>45339</v>
      </c>
      <c r="G390" s="1">
        <v>45345</v>
      </c>
      <c r="H390">
        <v>68</v>
      </c>
      <c r="I390">
        <v>328</v>
      </c>
      <c r="J390">
        <v>4028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320</v>
      </c>
      <c r="S390">
        <v>0</v>
      </c>
      <c r="T390">
        <v>0</v>
      </c>
      <c r="U390">
        <v>0</v>
      </c>
      <c r="V390">
        <v>815</v>
      </c>
      <c r="W390">
        <v>30</v>
      </c>
      <c r="X390">
        <v>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1828</v>
      </c>
      <c r="AE390">
        <v>0</v>
      </c>
      <c r="AF390">
        <v>81</v>
      </c>
      <c r="AG390">
        <v>0</v>
      </c>
      <c r="AH390">
        <v>629</v>
      </c>
      <c r="AI390">
        <v>0</v>
      </c>
      <c r="AJ390">
        <v>0</v>
      </c>
      <c r="AK390">
        <f t="shared" si="6"/>
        <v>8130</v>
      </c>
    </row>
    <row r="391" spans="1:37" x14ac:dyDescent="0.3">
      <c r="A391">
        <v>915</v>
      </c>
      <c r="C391" t="s">
        <v>93</v>
      </c>
      <c r="D391" t="s">
        <v>7</v>
      </c>
      <c r="E391">
        <v>2400479</v>
      </c>
      <c r="F391" s="1">
        <v>45323</v>
      </c>
      <c r="G391" s="1">
        <v>45328</v>
      </c>
      <c r="H391">
        <v>120</v>
      </c>
      <c r="I391">
        <v>126</v>
      </c>
      <c r="J391">
        <v>2504</v>
      </c>
      <c r="K391">
        <v>6</v>
      </c>
      <c r="L391">
        <v>90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128</v>
      </c>
      <c r="S391">
        <v>0</v>
      </c>
      <c r="T391">
        <v>0</v>
      </c>
      <c r="U391">
        <v>0</v>
      </c>
      <c r="V391">
        <v>732</v>
      </c>
      <c r="W391">
        <v>89</v>
      </c>
      <c r="X391">
        <v>293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412</v>
      </c>
      <c r="AE391">
        <v>0</v>
      </c>
      <c r="AF391">
        <v>288</v>
      </c>
      <c r="AG391">
        <v>0</v>
      </c>
      <c r="AH391">
        <v>442</v>
      </c>
      <c r="AI391">
        <v>0</v>
      </c>
      <c r="AJ391">
        <v>0</v>
      </c>
      <c r="AK391">
        <f t="shared" si="6"/>
        <v>5230</v>
      </c>
    </row>
    <row r="392" spans="1:37" x14ac:dyDescent="0.3">
      <c r="A392">
        <v>917</v>
      </c>
      <c r="C392" t="s">
        <v>93</v>
      </c>
      <c r="D392" t="s">
        <v>7</v>
      </c>
      <c r="E392">
        <v>2400479</v>
      </c>
      <c r="F392" s="1">
        <v>45316</v>
      </c>
      <c r="G392" s="1">
        <v>45321</v>
      </c>
      <c r="H392">
        <v>76</v>
      </c>
      <c r="I392">
        <v>106</v>
      </c>
      <c r="J392">
        <v>1841</v>
      </c>
      <c r="K392">
        <v>3</v>
      </c>
      <c r="L392">
        <v>1897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64</v>
      </c>
      <c r="S392">
        <v>0</v>
      </c>
      <c r="T392">
        <v>0</v>
      </c>
      <c r="U392">
        <v>0</v>
      </c>
      <c r="V392">
        <v>662</v>
      </c>
      <c r="W392">
        <v>47</v>
      </c>
      <c r="X392">
        <v>235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592</v>
      </c>
      <c r="AE392">
        <v>0</v>
      </c>
      <c r="AF392">
        <v>194</v>
      </c>
      <c r="AG392">
        <v>0</v>
      </c>
      <c r="AH392">
        <v>180</v>
      </c>
      <c r="AI392">
        <v>0</v>
      </c>
      <c r="AJ392">
        <v>0</v>
      </c>
      <c r="AK392">
        <f t="shared" si="6"/>
        <v>5897</v>
      </c>
    </row>
    <row r="393" spans="1:37" x14ac:dyDescent="0.3">
      <c r="A393">
        <v>919</v>
      </c>
      <c r="C393" t="s">
        <v>93</v>
      </c>
      <c r="D393" t="s">
        <v>7</v>
      </c>
      <c r="E393">
        <v>2400479</v>
      </c>
      <c r="F393" s="1">
        <v>45311</v>
      </c>
      <c r="G393" s="1">
        <v>45315</v>
      </c>
      <c r="H393">
        <v>5</v>
      </c>
      <c r="I393">
        <v>5</v>
      </c>
      <c r="J393">
        <v>623</v>
      </c>
      <c r="K393">
        <v>0</v>
      </c>
      <c r="L393">
        <v>140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36</v>
      </c>
      <c r="S393">
        <v>0</v>
      </c>
      <c r="T393">
        <v>0</v>
      </c>
      <c r="U393">
        <v>0</v>
      </c>
      <c r="V393">
        <v>56</v>
      </c>
      <c r="W393">
        <v>0</v>
      </c>
      <c r="X393">
        <v>57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272</v>
      </c>
      <c r="AE393">
        <v>0</v>
      </c>
      <c r="AF393">
        <v>18</v>
      </c>
      <c r="AG393">
        <v>0</v>
      </c>
      <c r="AH393">
        <v>43</v>
      </c>
      <c r="AI393">
        <v>0</v>
      </c>
      <c r="AJ393">
        <v>0</v>
      </c>
      <c r="AK393">
        <f t="shared" si="6"/>
        <v>1255</v>
      </c>
    </row>
    <row r="394" spans="1:37" x14ac:dyDescent="0.3">
      <c r="A394">
        <v>921</v>
      </c>
      <c r="C394" t="s">
        <v>93</v>
      </c>
      <c r="D394" t="s">
        <v>7</v>
      </c>
      <c r="E394">
        <v>2400479</v>
      </c>
      <c r="F394" s="1">
        <v>45306</v>
      </c>
      <c r="G394" s="1">
        <v>45312</v>
      </c>
      <c r="H394">
        <v>179</v>
      </c>
      <c r="I394">
        <v>176</v>
      </c>
      <c r="J394">
        <v>3254</v>
      </c>
      <c r="K394">
        <v>14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256</v>
      </c>
      <c r="S394">
        <v>0</v>
      </c>
      <c r="T394">
        <v>0</v>
      </c>
      <c r="U394">
        <v>0</v>
      </c>
      <c r="V394">
        <v>1869</v>
      </c>
      <c r="W394">
        <v>118</v>
      </c>
      <c r="X394">
        <v>638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1058</v>
      </c>
      <c r="AE394">
        <v>0</v>
      </c>
      <c r="AF394">
        <v>276</v>
      </c>
      <c r="AG394">
        <v>0</v>
      </c>
      <c r="AH394">
        <v>392</v>
      </c>
      <c r="AI394">
        <v>0</v>
      </c>
      <c r="AJ394">
        <v>0</v>
      </c>
      <c r="AK394">
        <f t="shared" si="6"/>
        <v>8235</v>
      </c>
    </row>
    <row r="395" spans="1:37" x14ac:dyDescent="0.3">
      <c r="A395">
        <v>923</v>
      </c>
      <c r="C395" t="s">
        <v>93</v>
      </c>
      <c r="D395" t="s">
        <v>7</v>
      </c>
      <c r="E395">
        <v>2400479</v>
      </c>
      <c r="F395" s="1">
        <v>45379</v>
      </c>
      <c r="G395" s="1">
        <v>45382</v>
      </c>
      <c r="H395">
        <v>65</v>
      </c>
      <c r="I395">
        <v>217</v>
      </c>
      <c r="J395">
        <v>4722</v>
      </c>
      <c r="K395">
        <v>2</v>
      </c>
      <c r="L395">
        <v>29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320</v>
      </c>
      <c r="S395">
        <v>0</v>
      </c>
      <c r="T395">
        <v>0</v>
      </c>
      <c r="U395">
        <v>0</v>
      </c>
      <c r="V395">
        <v>221</v>
      </c>
      <c r="W395">
        <v>1</v>
      </c>
      <c r="X395">
        <v>46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326</v>
      </c>
      <c r="AE395">
        <v>0</v>
      </c>
      <c r="AF395">
        <v>157</v>
      </c>
      <c r="AG395">
        <v>0</v>
      </c>
      <c r="AH395">
        <v>720</v>
      </c>
      <c r="AI395">
        <v>0</v>
      </c>
      <c r="AJ395">
        <v>0</v>
      </c>
      <c r="AK395">
        <f t="shared" si="6"/>
        <v>6826</v>
      </c>
    </row>
    <row r="396" spans="1:37" x14ac:dyDescent="0.3">
      <c r="A396">
        <v>925</v>
      </c>
      <c r="C396" t="s">
        <v>103</v>
      </c>
      <c r="D396" t="s">
        <v>106</v>
      </c>
      <c r="E396">
        <v>2300334</v>
      </c>
      <c r="F396" s="1">
        <v>44932</v>
      </c>
      <c r="G396" s="1">
        <v>44937</v>
      </c>
      <c r="H396">
        <v>0</v>
      </c>
      <c r="I396">
        <v>0</v>
      </c>
      <c r="J396">
        <v>7160</v>
      </c>
      <c r="K396">
        <v>6</v>
      </c>
      <c r="L396">
        <v>644</v>
      </c>
      <c r="M396">
        <v>17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24</v>
      </c>
      <c r="X396">
        <v>241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76</v>
      </c>
      <c r="AG396">
        <v>0</v>
      </c>
      <c r="AH396">
        <v>0</v>
      </c>
      <c r="AI396">
        <v>0</v>
      </c>
      <c r="AJ396">
        <v>0</v>
      </c>
      <c r="AK396">
        <f t="shared" si="6"/>
        <v>8168</v>
      </c>
    </row>
    <row r="397" spans="1:37" x14ac:dyDescent="0.3">
      <c r="A397">
        <v>925</v>
      </c>
      <c r="C397" t="s">
        <v>103</v>
      </c>
      <c r="D397" t="s">
        <v>107</v>
      </c>
      <c r="E397">
        <v>2300330</v>
      </c>
      <c r="F397" s="1">
        <v>44932</v>
      </c>
      <c r="G397" s="1">
        <v>44937</v>
      </c>
      <c r="H397">
        <v>0</v>
      </c>
      <c r="I397">
        <v>0</v>
      </c>
      <c r="J397">
        <v>2570</v>
      </c>
      <c r="K397">
        <v>2</v>
      </c>
      <c r="L397">
        <v>231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</v>
      </c>
      <c r="X397">
        <v>86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27</v>
      </c>
      <c r="AG397">
        <v>0</v>
      </c>
      <c r="AH397">
        <v>0</v>
      </c>
      <c r="AI397">
        <v>0</v>
      </c>
      <c r="AJ397">
        <v>0</v>
      </c>
      <c r="AK397">
        <f t="shared" ref="AK397:AK403" si="7">SUM(H397:AJ397)</f>
        <v>2931</v>
      </c>
    </row>
    <row r="398" spans="1:37" x14ac:dyDescent="0.3">
      <c r="A398">
        <v>925</v>
      </c>
      <c r="C398" t="s">
        <v>103</v>
      </c>
      <c r="D398" t="s">
        <v>108</v>
      </c>
      <c r="E398">
        <v>2300348</v>
      </c>
      <c r="F398" s="1">
        <v>44932</v>
      </c>
      <c r="G398" s="1">
        <v>44937</v>
      </c>
      <c r="H398">
        <v>0</v>
      </c>
      <c r="I398">
        <v>0</v>
      </c>
      <c r="J398">
        <v>7626</v>
      </c>
      <c r="K398">
        <v>7</v>
      </c>
      <c r="L398">
        <v>686</v>
      </c>
      <c r="M398">
        <v>18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26</v>
      </c>
      <c r="X398">
        <v>256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81</v>
      </c>
      <c r="AG398">
        <v>0</v>
      </c>
      <c r="AH398">
        <v>0</v>
      </c>
      <c r="AI398">
        <v>0</v>
      </c>
      <c r="AJ398">
        <v>0</v>
      </c>
      <c r="AK398">
        <f t="shared" si="7"/>
        <v>8700</v>
      </c>
    </row>
    <row r="399" spans="1:37" x14ac:dyDescent="0.3">
      <c r="A399">
        <v>925</v>
      </c>
      <c r="C399" t="s">
        <v>103</v>
      </c>
      <c r="D399" t="s">
        <v>109</v>
      </c>
      <c r="E399">
        <v>2300351</v>
      </c>
      <c r="F399" s="1">
        <v>44932</v>
      </c>
      <c r="G399" s="1">
        <v>44937</v>
      </c>
      <c r="H399">
        <v>0</v>
      </c>
      <c r="I399">
        <v>0</v>
      </c>
      <c r="J399">
        <v>7626</v>
      </c>
      <c r="K399">
        <v>7</v>
      </c>
      <c r="L399">
        <v>686</v>
      </c>
      <c r="M399">
        <v>18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26</v>
      </c>
      <c r="X399">
        <v>256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81</v>
      </c>
      <c r="AG399">
        <v>0</v>
      </c>
      <c r="AH399">
        <v>0</v>
      </c>
      <c r="AI399">
        <v>0</v>
      </c>
      <c r="AJ399">
        <v>0</v>
      </c>
      <c r="AK399">
        <f t="shared" si="7"/>
        <v>8700</v>
      </c>
    </row>
    <row r="400" spans="1:37" x14ac:dyDescent="0.3">
      <c r="A400">
        <v>925</v>
      </c>
      <c r="C400" t="s">
        <v>103</v>
      </c>
      <c r="D400" t="s">
        <v>110</v>
      </c>
      <c r="E400">
        <v>2300336</v>
      </c>
      <c r="F400" s="1">
        <v>44932</v>
      </c>
      <c r="G400" s="1">
        <v>44937</v>
      </c>
      <c r="H400">
        <v>0</v>
      </c>
      <c r="I400">
        <v>0</v>
      </c>
      <c r="J400">
        <v>2638</v>
      </c>
      <c r="K400">
        <v>2</v>
      </c>
      <c r="L400">
        <v>237</v>
      </c>
      <c r="M400">
        <v>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</v>
      </c>
      <c r="X400">
        <v>89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28</v>
      </c>
      <c r="AG400">
        <v>0</v>
      </c>
      <c r="AH400">
        <v>0</v>
      </c>
      <c r="AI400">
        <v>0</v>
      </c>
      <c r="AJ400">
        <v>0</v>
      </c>
      <c r="AK400">
        <f t="shared" si="7"/>
        <v>3009</v>
      </c>
    </row>
    <row r="401" spans="1:37" x14ac:dyDescent="0.3">
      <c r="A401">
        <v>925</v>
      </c>
      <c r="C401" t="s">
        <v>103</v>
      </c>
      <c r="D401" t="s">
        <v>111</v>
      </c>
      <c r="E401">
        <v>2300335</v>
      </c>
      <c r="F401" s="1">
        <v>44932</v>
      </c>
      <c r="G401" s="1">
        <v>44937</v>
      </c>
      <c r="H401">
        <v>0</v>
      </c>
      <c r="I401" s="15">
        <v>0</v>
      </c>
      <c r="J401">
        <v>2638</v>
      </c>
      <c r="K401">
        <v>2</v>
      </c>
      <c r="L401">
        <v>237</v>
      </c>
      <c r="M401">
        <v>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9</v>
      </c>
      <c r="X401">
        <v>89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28</v>
      </c>
      <c r="AG401">
        <v>0</v>
      </c>
      <c r="AH401">
        <v>0</v>
      </c>
      <c r="AI401">
        <v>0</v>
      </c>
      <c r="AJ401">
        <v>0</v>
      </c>
      <c r="AK401">
        <f t="shared" si="7"/>
        <v>3009</v>
      </c>
    </row>
    <row r="402" spans="1:37" x14ac:dyDescent="0.3">
      <c r="A402">
        <v>925</v>
      </c>
      <c r="C402" t="s">
        <v>103</v>
      </c>
      <c r="D402" t="s">
        <v>104</v>
      </c>
      <c r="E402">
        <v>2300333</v>
      </c>
      <c r="F402" s="1">
        <v>44932</v>
      </c>
      <c r="G402" s="1">
        <v>44937</v>
      </c>
      <c r="H402">
        <v>0</v>
      </c>
      <c r="I402">
        <v>0</v>
      </c>
      <c r="J402">
        <v>2638</v>
      </c>
      <c r="K402">
        <v>2</v>
      </c>
      <c r="L402">
        <v>237</v>
      </c>
      <c r="M402">
        <v>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9</v>
      </c>
      <c r="X402">
        <v>89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28</v>
      </c>
      <c r="AG402">
        <v>0</v>
      </c>
      <c r="AH402">
        <v>0</v>
      </c>
      <c r="AI402">
        <v>0</v>
      </c>
      <c r="AJ402">
        <v>0</v>
      </c>
      <c r="AK402">
        <f t="shared" si="7"/>
        <v>3009</v>
      </c>
    </row>
    <row r="403" spans="1:37" x14ac:dyDescent="0.3">
      <c r="A403">
        <v>927</v>
      </c>
      <c r="C403" t="s">
        <v>103</v>
      </c>
      <c r="D403" t="s">
        <v>105</v>
      </c>
      <c r="E403">
        <v>2300338</v>
      </c>
      <c r="F403" s="1">
        <v>44932</v>
      </c>
      <c r="G403" s="1">
        <v>44937</v>
      </c>
      <c r="H403">
        <v>0</v>
      </c>
      <c r="I403">
        <v>0</v>
      </c>
      <c r="J403">
        <v>2638</v>
      </c>
      <c r="K403">
        <v>2</v>
      </c>
      <c r="L403">
        <v>237</v>
      </c>
      <c r="M403">
        <v>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</v>
      </c>
      <c r="X403">
        <v>89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28</v>
      </c>
      <c r="AG403">
        <v>0</v>
      </c>
      <c r="AH403">
        <v>0</v>
      </c>
      <c r="AI403">
        <v>0</v>
      </c>
      <c r="AJ403">
        <v>0</v>
      </c>
      <c r="AK403">
        <f t="shared" si="7"/>
        <v>3009</v>
      </c>
    </row>
    <row r="404" spans="1:37" x14ac:dyDescent="0.3">
      <c r="A404">
        <v>930</v>
      </c>
      <c r="C404" t="s">
        <v>103</v>
      </c>
      <c r="D404" t="s">
        <v>106</v>
      </c>
      <c r="E404">
        <v>2300334</v>
      </c>
      <c r="F404" s="1">
        <v>44938</v>
      </c>
      <c r="G404" s="1">
        <v>44947</v>
      </c>
      <c r="H404">
        <v>17</v>
      </c>
      <c r="I404">
        <v>0</v>
      </c>
      <c r="J404">
        <v>7323</v>
      </c>
      <c r="K404">
        <v>160</v>
      </c>
      <c r="L404">
        <v>724</v>
      </c>
      <c r="M404">
        <v>82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28</v>
      </c>
      <c r="W404">
        <v>3</v>
      </c>
      <c r="X404">
        <v>479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12</v>
      </c>
      <c r="AG404">
        <v>0</v>
      </c>
      <c r="AH404">
        <v>0</v>
      </c>
      <c r="AI404">
        <v>0</v>
      </c>
      <c r="AJ404">
        <v>0</v>
      </c>
      <c r="AK404">
        <f>SUM(H404:AJ404)</f>
        <v>8828</v>
      </c>
    </row>
    <row r="405" spans="1:37" x14ac:dyDescent="0.3">
      <c r="A405">
        <v>930</v>
      </c>
      <c r="C405" t="s">
        <v>103</v>
      </c>
      <c r="D405" t="s">
        <v>107</v>
      </c>
      <c r="E405">
        <v>2300330</v>
      </c>
      <c r="F405" s="1">
        <v>44938</v>
      </c>
      <c r="G405" s="1">
        <v>44947</v>
      </c>
      <c r="H405">
        <v>6</v>
      </c>
      <c r="I405">
        <v>0</v>
      </c>
      <c r="J405">
        <v>2628</v>
      </c>
      <c r="K405">
        <v>57</v>
      </c>
      <c r="L405">
        <v>260</v>
      </c>
      <c r="M405">
        <v>29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10</v>
      </c>
      <c r="W405">
        <v>1</v>
      </c>
      <c r="X405">
        <v>172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4</v>
      </c>
      <c r="AG405">
        <v>0</v>
      </c>
      <c r="AH405">
        <v>0</v>
      </c>
      <c r="AI405">
        <v>0</v>
      </c>
      <c r="AJ405">
        <v>0</v>
      </c>
      <c r="AK405">
        <f t="shared" ref="AK405:AK468" si="8">SUM(H405:AJ405)</f>
        <v>3167</v>
      </c>
    </row>
    <row r="406" spans="1:37" x14ac:dyDescent="0.3">
      <c r="A406">
        <v>930</v>
      </c>
      <c r="C406" t="s">
        <v>103</v>
      </c>
      <c r="D406" t="s">
        <v>108</v>
      </c>
      <c r="E406">
        <v>2300348</v>
      </c>
      <c r="F406" s="1">
        <v>44938</v>
      </c>
      <c r="G406" s="1">
        <v>44947</v>
      </c>
      <c r="H406">
        <v>18</v>
      </c>
      <c r="I406">
        <v>0</v>
      </c>
      <c r="J406">
        <v>7799</v>
      </c>
      <c r="K406">
        <v>170</v>
      </c>
      <c r="L406">
        <v>772</v>
      </c>
      <c r="M406">
        <v>87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29</v>
      </c>
      <c r="W406">
        <v>3</v>
      </c>
      <c r="X406">
        <v>510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13</v>
      </c>
      <c r="AG406">
        <v>0</v>
      </c>
      <c r="AH406">
        <v>0</v>
      </c>
      <c r="AI406">
        <v>0</v>
      </c>
      <c r="AJ406">
        <v>0</v>
      </c>
      <c r="AK406">
        <f t="shared" si="8"/>
        <v>9401</v>
      </c>
    </row>
    <row r="407" spans="1:37" x14ac:dyDescent="0.3">
      <c r="A407">
        <v>930</v>
      </c>
      <c r="C407" t="s">
        <v>103</v>
      </c>
      <c r="D407" t="s">
        <v>109</v>
      </c>
      <c r="E407">
        <v>2300351</v>
      </c>
      <c r="F407" s="1">
        <v>44938</v>
      </c>
      <c r="G407" s="1">
        <v>44947</v>
      </c>
      <c r="H407">
        <v>18</v>
      </c>
      <c r="I407">
        <v>0</v>
      </c>
      <c r="J407">
        <v>7799</v>
      </c>
      <c r="K407">
        <v>170</v>
      </c>
      <c r="L407">
        <v>772</v>
      </c>
      <c r="M407">
        <v>87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29</v>
      </c>
      <c r="W407">
        <v>3</v>
      </c>
      <c r="X407">
        <v>510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13</v>
      </c>
      <c r="AG407">
        <v>0</v>
      </c>
      <c r="AH407">
        <v>0</v>
      </c>
      <c r="AI407">
        <v>0</v>
      </c>
      <c r="AJ407">
        <v>0</v>
      </c>
      <c r="AK407">
        <f t="shared" si="8"/>
        <v>9401</v>
      </c>
    </row>
    <row r="408" spans="1:37" x14ac:dyDescent="0.3">
      <c r="A408">
        <v>930</v>
      </c>
      <c r="C408" t="s">
        <v>103</v>
      </c>
      <c r="D408" t="s">
        <v>110</v>
      </c>
      <c r="E408">
        <v>2300336</v>
      </c>
      <c r="F408" s="1">
        <v>44938</v>
      </c>
      <c r="G408" s="1">
        <v>44947</v>
      </c>
      <c r="H408">
        <v>6</v>
      </c>
      <c r="I408">
        <v>0</v>
      </c>
      <c r="J408">
        <v>2698</v>
      </c>
      <c r="K408">
        <v>59</v>
      </c>
      <c r="L408">
        <v>267</v>
      </c>
      <c r="M408">
        <v>30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10</v>
      </c>
      <c r="W408">
        <v>1</v>
      </c>
      <c r="X408">
        <v>177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</v>
      </c>
      <c r="AG408">
        <v>0</v>
      </c>
      <c r="AH408">
        <v>0</v>
      </c>
      <c r="AI408">
        <v>0</v>
      </c>
      <c r="AJ408">
        <v>0</v>
      </c>
      <c r="AK408">
        <f t="shared" si="8"/>
        <v>3252</v>
      </c>
    </row>
    <row r="409" spans="1:37" x14ac:dyDescent="0.3">
      <c r="A409">
        <v>930</v>
      </c>
      <c r="C409" t="s">
        <v>103</v>
      </c>
      <c r="D409" t="s">
        <v>111</v>
      </c>
      <c r="E409">
        <v>2300335</v>
      </c>
      <c r="F409" s="1">
        <v>44938</v>
      </c>
      <c r="G409" s="1">
        <v>44947</v>
      </c>
      <c r="H409">
        <v>6</v>
      </c>
      <c r="I409">
        <v>0</v>
      </c>
      <c r="J409">
        <v>2698</v>
      </c>
      <c r="K409">
        <v>59</v>
      </c>
      <c r="L409">
        <v>267</v>
      </c>
      <c r="M409">
        <v>30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10</v>
      </c>
      <c r="W409">
        <v>1</v>
      </c>
      <c r="X409">
        <v>177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</v>
      </c>
      <c r="AG409">
        <v>0</v>
      </c>
      <c r="AH409">
        <v>0</v>
      </c>
      <c r="AI409">
        <v>0</v>
      </c>
      <c r="AJ409">
        <v>0</v>
      </c>
      <c r="AK409">
        <f t="shared" si="8"/>
        <v>3252</v>
      </c>
    </row>
    <row r="410" spans="1:37" x14ac:dyDescent="0.3">
      <c r="A410">
        <v>930</v>
      </c>
      <c r="C410" t="s">
        <v>103</v>
      </c>
      <c r="D410" t="s">
        <v>104</v>
      </c>
      <c r="E410">
        <v>2300333</v>
      </c>
      <c r="F410" s="1">
        <v>44938</v>
      </c>
      <c r="G410" s="1">
        <v>44947</v>
      </c>
      <c r="H410">
        <v>6</v>
      </c>
      <c r="I410">
        <v>0</v>
      </c>
      <c r="J410">
        <v>2698</v>
      </c>
      <c r="K410">
        <v>59</v>
      </c>
      <c r="L410">
        <v>267</v>
      </c>
      <c r="M410">
        <v>30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10</v>
      </c>
      <c r="W410">
        <v>1</v>
      </c>
      <c r="X410">
        <v>177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</v>
      </c>
      <c r="AG410">
        <v>0</v>
      </c>
      <c r="AH410">
        <v>0</v>
      </c>
      <c r="AI410">
        <v>0</v>
      </c>
      <c r="AJ410">
        <v>0</v>
      </c>
      <c r="AK410">
        <f t="shared" si="8"/>
        <v>3252</v>
      </c>
    </row>
    <row r="411" spans="1:37" x14ac:dyDescent="0.3">
      <c r="A411">
        <v>932</v>
      </c>
      <c r="C411" t="s">
        <v>103</v>
      </c>
      <c r="D411" t="s">
        <v>105</v>
      </c>
      <c r="E411">
        <v>2300338</v>
      </c>
      <c r="F411" s="1">
        <v>44938</v>
      </c>
      <c r="G411" s="1">
        <v>44947</v>
      </c>
      <c r="H411">
        <v>6</v>
      </c>
      <c r="I411">
        <v>0</v>
      </c>
      <c r="J411">
        <v>2698</v>
      </c>
      <c r="K411">
        <v>59</v>
      </c>
      <c r="L411">
        <v>267</v>
      </c>
      <c r="M411">
        <v>30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10</v>
      </c>
      <c r="W411">
        <v>1</v>
      </c>
      <c r="X411">
        <v>177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4</v>
      </c>
      <c r="AG411">
        <v>0</v>
      </c>
      <c r="AH411">
        <v>0</v>
      </c>
      <c r="AI411">
        <v>0</v>
      </c>
      <c r="AJ411">
        <v>0</v>
      </c>
      <c r="AK411">
        <f t="shared" si="8"/>
        <v>3252</v>
      </c>
    </row>
    <row r="412" spans="1:37" x14ac:dyDescent="0.3">
      <c r="A412">
        <v>935</v>
      </c>
      <c r="C412" t="s">
        <v>103</v>
      </c>
      <c r="D412" t="s">
        <v>106</v>
      </c>
      <c r="E412">
        <v>2300334</v>
      </c>
      <c r="F412" s="1">
        <v>44947</v>
      </c>
      <c r="G412" s="1">
        <v>44955</v>
      </c>
      <c r="H412">
        <v>0</v>
      </c>
      <c r="I412">
        <v>0</v>
      </c>
      <c r="J412">
        <v>6964</v>
      </c>
      <c r="K412">
        <v>296</v>
      </c>
      <c r="L412">
        <v>98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130</v>
      </c>
      <c r="W412">
        <v>9</v>
      </c>
      <c r="X412">
        <v>406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52</v>
      </c>
      <c r="AG412">
        <v>0</v>
      </c>
      <c r="AH412">
        <v>0</v>
      </c>
      <c r="AI412">
        <v>0</v>
      </c>
      <c r="AJ412">
        <v>0</v>
      </c>
      <c r="AK412">
        <f t="shared" si="8"/>
        <v>7955</v>
      </c>
    </row>
    <row r="413" spans="1:37" x14ac:dyDescent="0.3">
      <c r="A413">
        <v>935</v>
      </c>
      <c r="C413" t="s">
        <v>103</v>
      </c>
      <c r="D413" t="s">
        <v>107</v>
      </c>
      <c r="E413">
        <v>2300330</v>
      </c>
      <c r="F413" s="1">
        <v>44947</v>
      </c>
      <c r="G413" s="1">
        <v>44955</v>
      </c>
      <c r="H413">
        <v>0</v>
      </c>
      <c r="I413">
        <v>0</v>
      </c>
      <c r="J413">
        <v>2500</v>
      </c>
      <c r="K413">
        <v>106</v>
      </c>
      <c r="L413">
        <v>35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</v>
      </c>
      <c r="W413">
        <v>3</v>
      </c>
      <c r="X413">
        <v>146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19</v>
      </c>
      <c r="AG413">
        <v>0</v>
      </c>
      <c r="AH413">
        <v>0</v>
      </c>
      <c r="AI413">
        <v>0</v>
      </c>
      <c r="AJ413">
        <v>0</v>
      </c>
      <c r="AK413">
        <f t="shared" si="8"/>
        <v>2855</v>
      </c>
    </row>
    <row r="414" spans="1:37" x14ac:dyDescent="0.3">
      <c r="A414">
        <v>935</v>
      </c>
      <c r="C414" t="s">
        <v>103</v>
      </c>
      <c r="D414" t="s">
        <v>108</v>
      </c>
      <c r="E414">
        <v>2300348</v>
      </c>
      <c r="F414" s="1">
        <v>44947</v>
      </c>
      <c r="G414" s="1">
        <v>44955</v>
      </c>
      <c r="H414">
        <v>0</v>
      </c>
      <c r="I414">
        <v>0</v>
      </c>
      <c r="J414">
        <v>7415</v>
      </c>
      <c r="K414">
        <v>315</v>
      </c>
      <c r="L414">
        <v>104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139</v>
      </c>
      <c r="W414">
        <v>9</v>
      </c>
      <c r="X414">
        <v>433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55</v>
      </c>
      <c r="AG414">
        <v>0</v>
      </c>
      <c r="AH414">
        <v>0</v>
      </c>
      <c r="AI414">
        <v>0</v>
      </c>
      <c r="AJ414">
        <v>0</v>
      </c>
      <c r="AK414">
        <f t="shared" si="8"/>
        <v>8470</v>
      </c>
    </row>
    <row r="415" spans="1:37" x14ac:dyDescent="0.3">
      <c r="A415">
        <v>935</v>
      </c>
      <c r="C415" t="s">
        <v>103</v>
      </c>
      <c r="D415" t="s">
        <v>109</v>
      </c>
      <c r="E415">
        <v>2300351</v>
      </c>
      <c r="F415" s="1">
        <v>44947</v>
      </c>
      <c r="G415" s="1">
        <v>44955</v>
      </c>
      <c r="H415">
        <v>0</v>
      </c>
      <c r="I415">
        <v>0</v>
      </c>
      <c r="J415">
        <v>7415</v>
      </c>
      <c r="K415">
        <v>315</v>
      </c>
      <c r="L415">
        <v>104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139</v>
      </c>
      <c r="W415">
        <v>9</v>
      </c>
      <c r="X415">
        <v>433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55</v>
      </c>
      <c r="AG415">
        <v>0</v>
      </c>
      <c r="AH415">
        <v>0</v>
      </c>
      <c r="AI415">
        <v>0</v>
      </c>
      <c r="AJ415">
        <v>0</v>
      </c>
      <c r="AK415">
        <f t="shared" si="8"/>
        <v>8470</v>
      </c>
    </row>
    <row r="416" spans="1:37" x14ac:dyDescent="0.3">
      <c r="A416">
        <v>935</v>
      </c>
      <c r="C416" t="s">
        <v>103</v>
      </c>
      <c r="D416" t="s">
        <v>110</v>
      </c>
      <c r="E416">
        <v>2300336</v>
      </c>
      <c r="F416" s="1">
        <v>44947</v>
      </c>
      <c r="G416" s="1">
        <v>44955</v>
      </c>
      <c r="H416">
        <v>0</v>
      </c>
      <c r="I416">
        <v>0</v>
      </c>
      <c r="J416">
        <v>2565</v>
      </c>
      <c r="K416">
        <v>109</v>
      </c>
      <c r="L416">
        <v>36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48</v>
      </c>
      <c r="W416">
        <v>3</v>
      </c>
      <c r="X416">
        <v>150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19</v>
      </c>
      <c r="AG416">
        <v>0</v>
      </c>
      <c r="AH416">
        <v>0</v>
      </c>
      <c r="AI416">
        <v>0</v>
      </c>
      <c r="AJ416">
        <v>0</v>
      </c>
      <c r="AK416">
        <f t="shared" si="8"/>
        <v>2930</v>
      </c>
    </row>
    <row r="417" spans="1:37" x14ac:dyDescent="0.3">
      <c r="A417">
        <v>935</v>
      </c>
      <c r="C417" t="s">
        <v>103</v>
      </c>
      <c r="D417" t="s">
        <v>111</v>
      </c>
      <c r="E417">
        <v>2300335</v>
      </c>
      <c r="F417" s="1">
        <v>44947</v>
      </c>
      <c r="G417" s="1">
        <v>44955</v>
      </c>
      <c r="H417">
        <v>0</v>
      </c>
      <c r="I417">
        <v>0</v>
      </c>
      <c r="J417">
        <v>2565</v>
      </c>
      <c r="K417">
        <v>109</v>
      </c>
      <c r="L417">
        <v>36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48</v>
      </c>
      <c r="W417">
        <v>3</v>
      </c>
      <c r="X417">
        <v>150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19</v>
      </c>
      <c r="AG417">
        <v>0</v>
      </c>
      <c r="AH417">
        <v>0</v>
      </c>
      <c r="AI417">
        <v>0</v>
      </c>
      <c r="AJ417">
        <v>0</v>
      </c>
      <c r="AK417">
        <f t="shared" si="8"/>
        <v>2930</v>
      </c>
    </row>
    <row r="418" spans="1:37" x14ac:dyDescent="0.3">
      <c r="A418">
        <v>935</v>
      </c>
      <c r="C418" t="s">
        <v>103</v>
      </c>
      <c r="D418" t="s">
        <v>104</v>
      </c>
      <c r="E418">
        <v>2300333</v>
      </c>
      <c r="F418" s="1">
        <v>44947</v>
      </c>
      <c r="G418" s="1">
        <v>44955</v>
      </c>
      <c r="H418">
        <v>0</v>
      </c>
      <c r="I418">
        <v>0</v>
      </c>
      <c r="J418">
        <v>2565</v>
      </c>
      <c r="K418">
        <v>109</v>
      </c>
      <c r="L418">
        <v>36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48</v>
      </c>
      <c r="W418">
        <v>3</v>
      </c>
      <c r="X418">
        <v>150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19</v>
      </c>
      <c r="AG418">
        <v>0</v>
      </c>
      <c r="AH418">
        <v>0</v>
      </c>
      <c r="AI418">
        <v>0</v>
      </c>
      <c r="AJ418">
        <v>0</v>
      </c>
      <c r="AK418">
        <f t="shared" si="8"/>
        <v>2930</v>
      </c>
    </row>
    <row r="419" spans="1:37" x14ac:dyDescent="0.3">
      <c r="A419">
        <v>937</v>
      </c>
      <c r="C419" t="s">
        <v>103</v>
      </c>
      <c r="D419" t="s">
        <v>105</v>
      </c>
      <c r="E419">
        <v>2300338</v>
      </c>
      <c r="F419" s="1">
        <v>44947</v>
      </c>
      <c r="G419" s="1">
        <v>44955</v>
      </c>
      <c r="H419">
        <v>0</v>
      </c>
      <c r="I419">
        <v>0</v>
      </c>
      <c r="J419">
        <v>2565</v>
      </c>
      <c r="K419">
        <v>109</v>
      </c>
      <c r="L419">
        <v>36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48</v>
      </c>
      <c r="W419">
        <v>3</v>
      </c>
      <c r="X419">
        <v>150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19</v>
      </c>
      <c r="AG419">
        <v>0</v>
      </c>
      <c r="AH419">
        <v>0</v>
      </c>
      <c r="AI419">
        <v>0</v>
      </c>
      <c r="AJ419">
        <v>0</v>
      </c>
      <c r="AK419">
        <f t="shared" si="8"/>
        <v>2930</v>
      </c>
    </row>
    <row r="420" spans="1:37" x14ac:dyDescent="0.3">
      <c r="A420">
        <v>940</v>
      </c>
      <c r="C420" t="s">
        <v>84</v>
      </c>
      <c r="D420" t="s">
        <v>7</v>
      </c>
      <c r="E420">
        <v>2400479</v>
      </c>
      <c r="F420" s="1">
        <v>45349</v>
      </c>
      <c r="G420" s="1">
        <v>45356</v>
      </c>
      <c r="H420">
        <v>981</v>
      </c>
      <c r="I420">
        <v>0</v>
      </c>
      <c r="J420">
        <v>18802</v>
      </c>
      <c r="K420">
        <v>163</v>
      </c>
      <c r="L420">
        <v>2291</v>
      </c>
      <c r="M420">
        <v>31</v>
      </c>
      <c r="N420">
        <v>14</v>
      </c>
      <c r="O420">
        <v>0</v>
      </c>
      <c r="P420">
        <v>0</v>
      </c>
      <c r="Q420">
        <v>0</v>
      </c>
      <c r="R420">
        <v>1064</v>
      </c>
      <c r="S420">
        <v>0</v>
      </c>
      <c r="T420">
        <v>241</v>
      </c>
      <c r="U420">
        <v>0</v>
      </c>
      <c r="V420">
        <v>780</v>
      </c>
      <c r="W420" s="15">
        <v>2</v>
      </c>
      <c r="X420">
        <v>7620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238</v>
      </c>
      <c r="AE420">
        <v>2</v>
      </c>
      <c r="AF420">
        <v>114</v>
      </c>
      <c r="AG420">
        <v>0</v>
      </c>
      <c r="AH420">
        <v>26</v>
      </c>
      <c r="AI420">
        <v>0</v>
      </c>
      <c r="AJ420">
        <v>0</v>
      </c>
      <c r="AK420">
        <f t="shared" si="8"/>
        <v>32369</v>
      </c>
    </row>
    <row r="421" spans="1:37" x14ac:dyDescent="0.3">
      <c r="A421">
        <v>942</v>
      </c>
      <c r="C421" t="s">
        <v>96</v>
      </c>
      <c r="D421" t="s">
        <v>7</v>
      </c>
      <c r="E421">
        <v>2400479</v>
      </c>
      <c r="F421" s="1">
        <v>45374</v>
      </c>
      <c r="G421" s="1">
        <v>45378</v>
      </c>
      <c r="H421">
        <v>1978</v>
      </c>
      <c r="I421">
        <v>3</v>
      </c>
      <c r="J421">
        <v>9775</v>
      </c>
      <c r="K421">
        <v>93</v>
      </c>
      <c r="L421">
        <v>22657</v>
      </c>
      <c r="M421">
        <v>630</v>
      </c>
      <c r="N421">
        <v>32</v>
      </c>
      <c r="O421">
        <v>0</v>
      </c>
      <c r="P421">
        <v>384</v>
      </c>
      <c r="Q421">
        <v>0</v>
      </c>
      <c r="R421">
        <v>1240</v>
      </c>
      <c r="S421">
        <v>0</v>
      </c>
      <c r="T421">
        <v>0</v>
      </c>
      <c r="U421">
        <v>0</v>
      </c>
      <c r="V421" s="13">
        <v>315</v>
      </c>
      <c r="W421">
        <v>0</v>
      </c>
      <c r="X421">
        <v>1588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102</v>
      </c>
      <c r="AE421">
        <v>8</v>
      </c>
      <c r="AF421">
        <v>0</v>
      </c>
      <c r="AG421">
        <v>0</v>
      </c>
      <c r="AH421">
        <v>19</v>
      </c>
      <c r="AI421">
        <v>0</v>
      </c>
      <c r="AJ421">
        <v>0</v>
      </c>
      <c r="AK421">
        <f t="shared" si="8"/>
        <v>38824</v>
      </c>
    </row>
    <row r="422" spans="1:37" x14ac:dyDescent="0.3">
      <c r="A422">
        <v>944</v>
      </c>
      <c r="C422" t="s">
        <v>84</v>
      </c>
      <c r="D422" t="s">
        <v>7</v>
      </c>
      <c r="E422">
        <v>2400479</v>
      </c>
      <c r="F422" s="1">
        <v>45339</v>
      </c>
      <c r="G422" s="1">
        <v>45346</v>
      </c>
      <c r="H422">
        <v>564</v>
      </c>
      <c r="I422">
        <v>32</v>
      </c>
      <c r="J422">
        <v>13153</v>
      </c>
      <c r="K422">
        <v>53</v>
      </c>
      <c r="L422">
        <v>2560</v>
      </c>
      <c r="M422">
        <v>320</v>
      </c>
      <c r="N422">
        <v>4</v>
      </c>
      <c r="O422">
        <v>0</v>
      </c>
      <c r="P422">
        <v>18</v>
      </c>
      <c r="Q422">
        <v>0</v>
      </c>
      <c r="R422">
        <v>1228</v>
      </c>
      <c r="S422">
        <v>0</v>
      </c>
      <c r="T422">
        <v>139</v>
      </c>
      <c r="U422">
        <v>0</v>
      </c>
      <c r="V422">
        <v>865</v>
      </c>
      <c r="W422">
        <v>1</v>
      </c>
      <c r="X422">
        <v>10145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464</v>
      </c>
      <c r="AE422">
        <v>2</v>
      </c>
      <c r="AF422">
        <v>93</v>
      </c>
      <c r="AG422">
        <v>1</v>
      </c>
      <c r="AH422">
        <v>73</v>
      </c>
      <c r="AI422">
        <v>0</v>
      </c>
      <c r="AJ422">
        <v>0</v>
      </c>
      <c r="AK422">
        <f t="shared" si="8"/>
        <v>29715</v>
      </c>
    </row>
    <row r="423" spans="1:37" x14ac:dyDescent="0.3">
      <c r="A423">
        <v>946</v>
      </c>
      <c r="C423" t="s">
        <v>114</v>
      </c>
      <c r="D423" t="s">
        <v>100</v>
      </c>
      <c r="E423">
        <v>2402832</v>
      </c>
      <c r="F423" s="1">
        <v>45370</v>
      </c>
      <c r="G423" s="1">
        <v>45375</v>
      </c>
      <c r="H423">
        <v>314</v>
      </c>
      <c r="I423">
        <v>246</v>
      </c>
      <c r="J423">
        <v>13865</v>
      </c>
      <c r="K423">
        <v>11</v>
      </c>
      <c r="L423">
        <v>1664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324</v>
      </c>
      <c r="W423">
        <v>0</v>
      </c>
      <c r="X423">
        <v>688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1207</v>
      </c>
      <c r="AE423">
        <v>0</v>
      </c>
      <c r="AF423">
        <v>0</v>
      </c>
      <c r="AG423">
        <v>0</v>
      </c>
      <c r="AH423">
        <v>0</v>
      </c>
      <c r="AI423">
        <v>54</v>
      </c>
      <c r="AJ423">
        <v>0</v>
      </c>
      <c r="AK423">
        <f t="shared" si="8"/>
        <v>18373</v>
      </c>
    </row>
    <row r="424" spans="1:37" x14ac:dyDescent="0.3">
      <c r="A424">
        <v>949</v>
      </c>
      <c r="C424" t="s">
        <v>93</v>
      </c>
      <c r="D424" t="s">
        <v>7</v>
      </c>
      <c r="E424">
        <v>2400479</v>
      </c>
      <c r="F424" s="1">
        <v>45385</v>
      </c>
      <c r="G424" s="1">
        <v>45386</v>
      </c>
      <c r="H424">
        <v>3</v>
      </c>
      <c r="I424">
        <v>87</v>
      </c>
      <c r="J424">
        <v>3922</v>
      </c>
      <c r="K424">
        <v>6</v>
      </c>
      <c r="L424">
        <v>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</v>
      </c>
      <c r="S424">
        <v>0</v>
      </c>
      <c r="T424">
        <v>0</v>
      </c>
      <c r="U424">
        <v>0</v>
      </c>
      <c r="V424">
        <v>57</v>
      </c>
      <c r="W424">
        <v>3</v>
      </c>
      <c r="X424">
        <v>27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16</v>
      </c>
      <c r="AE424">
        <v>0</v>
      </c>
      <c r="AF424">
        <v>3</v>
      </c>
      <c r="AG424">
        <v>0</v>
      </c>
      <c r="AH424">
        <v>60</v>
      </c>
      <c r="AI424">
        <v>0</v>
      </c>
      <c r="AJ424">
        <v>0</v>
      </c>
      <c r="AK424">
        <f t="shared" si="8"/>
        <v>4194</v>
      </c>
    </row>
    <row r="425" spans="1:37" x14ac:dyDescent="0.3">
      <c r="A425">
        <v>951</v>
      </c>
      <c r="C425" t="s">
        <v>93</v>
      </c>
      <c r="D425" t="s">
        <v>7</v>
      </c>
      <c r="E425">
        <v>2400479</v>
      </c>
      <c r="F425" s="1">
        <v>45351</v>
      </c>
      <c r="G425" s="1">
        <v>45354</v>
      </c>
      <c r="H425">
        <v>12</v>
      </c>
      <c r="I425">
        <v>27</v>
      </c>
      <c r="J425">
        <v>1069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92</v>
      </c>
      <c r="S425">
        <v>0</v>
      </c>
      <c r="T425">
        <v>0</v>
      </c>
      <c r="U425">
        <v>0</v>
      </c>
      <c r="V425">
        <v>437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840</v>
      </c>
      <c r="AE425">
        <v>0</v>
      </c>
      <c r="AF425">
        <v>5</v>
      </c>
      <c r="AG425">
        <v>0</v>
      </c>
      <c r="AH425">
        <v>120</v>
      </c>
      <c r="AI425">
        <v>0</v>
      </c>
      <c r="AJ425">
        <v>0</v>
      </c>
      <c r="AK425">
        <f t="shared" si="8"/>
        <v>2602</v>
      </c>
    </row>
    <row r="426" spans="1:37" x14ac:dyDescent="0.3">
      <c r="A426">
        <v>953</v>
      </c>
      <c r="C426" t="s">
        <v>96</v>
      </c>
      <c r="D426" t="s">
        <v>7</v>
      </c>
      <c r="E426">
        <v>2400479</v>
      </c>
      <c r="F426" s="1">
        <v>45379</v>
      </c>
      <c r="G426" s="1">
        <v>45382</v>
      </c>
      <c r="H426">
        <v>1244</v>
      </c>
      <c r="I426">
        <v>0</v>
      </c>
      <c r="J426">
        <v>3878</v>
      </c>
      <c r="K426">
        <v>26</v>
      </c>
      <c r="L426">
        <v>9451</v>
      </c>
      <c r="M426">
        <v>547</v>
      </c>
      <c r="N426">
        <v>45</v>
      </c>
      <c r="O426">
        <v>0</v>
      </c>
      <c r="P426">
        <v>328</v>
      </c>
      <c r="Q426">
        <v>0</v>
      </c>
      <c r="R426" s="13">
        <v>856</v>
      </c>
      <c r="S426">
        <v>0</v>
      </c>
      <c r="T426">
        <v>28</v>
      </c>
      <c r="U426">
        <v>0</v>
      </c>
      <c r="V426">
        <v>133</v>
      </c>
      <c r="W426">
        <v>0</v>
      </c>
      <c r="X426">
        <v>884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150</v>
      </c>
      <c r="AE426" s="13">
        <v>6</v>
      </c>
      <c r="AF426">
        <v>4</v>
      </c>
      <c r="AG426">
        <v>0</v>
      </c>
      <c r="AH426">
        <v>8</v>
      </c>
      <c r="AI426">
        <v>0</v>
      </c>
      <c r="AJ426">
        <v>0</v>
      </c>
      <c r="AK426">
        <f t="shared" si="8"/>
        <v>17588</v>
      </c>
    </row>
    <row r="427" spans="1:37" x14ac:dyDescent="0.3">
      <c r="A427">
        <v>955</v>
      </c>
      <c r="C427" t="s">
        <v>96</v>
      </c>
      <c r="D427" t="s">
        <v>7</v>
      </c>
      <c r="E427">
        <v>2400479</v>
      </c>
      <c r="F427" s="1">
        <v>45385</v>
      </c>
      <c r="G427" s="1">
        <v>45388</v>
      </c>
      <c r="H427">
        <v>823</v>
      </c>
      <c r="I427">
        <v>2</v>
      </c>
      <c r="J427">
        <v>3216</v>
      </c>
      <c r="K427">
        <v>78</v>
      </c>
      <c r="L427">
        <v>10615</v>
      </c>
      <c r="M427">
        <v>55</v>
      </c>
      <c r="N427">
        <v>0</v>
      </c>
      <c r="O427">
        <v>0</v>
      </c>
      <c r="P427">
        <v>44</v>
      </c>
      <c r="Q427">
        <v>0</v>
      </c>
      <c r="R427" s="13">
        <v>108</v>
      </c>
      <c r="S427">
        <v>0</v>
      </c>
      <c r="T427">
        <v>47</v>
      </c>
      <c r="U427">
        <v>0</v>
      </c>
      <c r="V427">
        <v>139</v>
      </c>
      <c r="W427">
        <v>0</v>
      </c>
      <c r="X427">
        <v>428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268</v>
      </c>
      <c r="AE427">
        <v>0</v>
      </c>
      <c r="AF427">
        <v>6</v>
      </c>
      <c r="AG427">
        <v>0</v>
      </c>
      <c r="AH427">
        <v>24</v>
      </c>
      <c r="AI427">
        <v>0</v>
      </c>
      <c r="AJ427">
        <v>0</v>
      </c>
      <c r="AK427">
        <f t="shared" si="8"/>
        <v>15853</v>
      </c>
    </row>
    <row r="428" spans="1:37" x14ac:dyDescent="0.3">
      <c r="A428">
        <v>957</v>
      </c>
      <c r="C428" t="s">
        <v>96</v>
      </c>
      <c r="D428" t="s">
        <v>7</v>
      </c>
      <c r="E428">
        <v>2400479</v>
      </c>
      <c r="F428" s="1">
        <v>45358</v>
      </c>
      <c r="G428" s="1">
        <v>45365</v>
      </c>
      <c r="H428">
        <v>1350</v>
      </c>
      <c r="I428">
        <v>0</v>
      </c>
      <c r="J428">
        <v>11264</v>
      </c>
      <c r="K428">
        <v>134</v>
      </c>
      <c r="L428">
        <v>25444</v>
      </c>
      <c r="M428">
        <v>409</v>
      </c>
      <c r="N428">
        <v>9</v>
      </c>
      <c r="O428" s="13">
        <v>5</v>
      </c>
      <c r="P428">
        <v>370</v>
      </c>
      <c r="Q428">
        <v>0</v>
      </c>
      <c r="R428" s="13">
        <v>596</v>
      </c>
      <c r="S428">
        <v>0</v>
      </c>
      <c r="T428">
        <v>22</v>
      </c>
      <c r="U428">
        <v>0</v>
      </c>
      <c r="V428">
        <v>133</v>
      </c>
      <c r="W428">
        <v>0</v>
      </c>
      <c r="X428">
        <v>520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18</v>
      </c>
      <c r="AE428">
        <v>11</v>
      </c>
      <c r="AF428">
        <v>3</v>
      </c>
      <c r="AG428">
        <v>0</v>
      </c>
      <c r="AH428">
        <v>2</v>
      </c>
      <c r="AI428">
        <v>0</v>
      </c>
      <c r="AJ428">
        <v>0</v>
      </c>
      <c r="AK428">
        <f t="shared" si="8"/>
        <v>40290</v>
      </c>
    </row>
    <row r="429" spans="1:37" x14ac:dyDescent="0.3">
      <c r="A429">
        <v>960</v>
      </c>
      <c r="C429" t="s">
        <v>84</v>
      </c>
      <c r="D429" t="s">
        <v>7</v>
      </c>
      <c r="E429">
        <v>2400479</v>
      </c>
      <c r="F429" s="1">
        <v>45448</v>
      </c>
      <c r="G429" s="1">
        <v>45455</v>
      </c>
      <c r="H429">
        <v>1498</v>
      </c>
      <c r="I429">
        <v>23</v>
      </c>
      <c r="J429">
        <v>16127</v>
      </c>
      <c r="K429">
        <v>74</v>
      </c>
      <c r="L429">
        <v>22</v>
      </c>
      <c r="M429">
        <v>62</v>
      </c>
      <c r="N429">
        <v>0</v>
      </c>
      <c r="O429">
        <v>0</v>
      </c>
      <c r="P429">
        <v>14</v>
      </c>
      <c r="Q429">
        <v>0</v>
      </c>
      <c r="R429" s="13">
        <v>284</v>
      </c>
      <c r="S429">
        <v>0</v>
      </c>
      <c r="T429">
        <v>572</v>
      </c>
      <c r="U429">
        <v>0</v>
      </c>
      <c r="V429">
        <v>1200</v>
      </c>
      <c r="W429">
        <v>16</v>
      </c>
      <c r="X429">
        <v>15762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351</v>
      </c>
      <c r="AE429">
        <v>40</v>
      </c>
      <c r="AF429">
        <v>193</v>
      </c>
      <c r="AG429">
        <v>0</v>
      </c>
      <c r="AH429">
        <v>127</v>
      </c>
      <c r="AI429">
        <v>0</v>
      </c>
      <c r="AJ429">
        <v>0</v>
      </c>
      <c r="AK429">
        <f t="shared" si="8"/>
        <v>36365</v>
      </c>
    </row>
    <row r="430" spans="1:37" x14ac:dyDescent="0.3">
      <c r="A430">
        <v>962</v>
      </c>
      <c r="C430" t="s">
        <v>84</v>
      </c>
      <c r="D430" t="s">
        <v>7</v>
      </c>
      <c r="E430">
        <v>2400479</v>
      </c>
      <c r="F430" s="1">
        <v>45439</v>
      </c>
      <c r="G430" s="1">
        <v>45443</v>
      </c>
      <c r="H430">
        <v>897</v>
      </c>
      <c r="I430">
        <v>0</v>
      </c>
      <c r="J430">
        <v>9456</v>
      </c>
      <c r="K430">
        <v>45</v>
      </c>
      <c r="L430">
        <v>94</v>
      </c>
      <c r="M430">
        <v>0</v>
      </c>
      <c r="N430">
        <v>0</v>
      </c>
      <c r="O430">
        <v>0</v>
      </c>
      <c r="P430">
        <v>4</v>
      </c>
      <c r="Q430">
        <v>0</v>
      </c>
      <c r="R430" s="13">
        <v>0</v>
      </c>
      <c r="S430">
        <v>0</v>
      </c>
      <c r="T430">
        <v>193</v>
      </c>
      <c r="U430">
        <v>0</v>
      </c>
      <c r="V430">
        <v>770</v>
      </c>
      <c r="W430">
        <v>0</v>
      </c>
      <c r="X430">
        <v>5158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84</v>
      </c>
      <c r="AE430">
        <v>8</v>
      </c>
      <c r="AF430">
        <v>48</v>
      </c>
      <c r="AG430">
        <v>0</v>
      </c>
      <c r="AH430">
        <v>2</v>
      </c>
      <c r="AI430">
        <v>0</v>
      </c>
      <c r="AJ430">
        <v>0</v>
      </c>
      <c r="AK430">
        <f t="shared" si="8"/>
        <v>16759</v>
      </c>
    </row>
    <row r="431" spans="1:37" x14ac:dyDescent="0.3">
      <c r="A431">
        <v>964</v>
      </c>
      <c r="C431" t="s">
        <v>96</v>
      </c>
      <c r="D431" t="s">
        <v>7</v>
      </c>
      <c r="E431">
        <v>2400477</v>
      </c>
      <c r="F431" s="1">
        <v>45435</v>
      </c>
      <c r="G431" s="1">
        <v>45440</v>
      </c>
      <c r="H431">
        <v>621</v>
      </c>
      <c r="I431">
        <v>0</v>
      </c>
      <c r="J431">
        <v>26292</v>
      </c>
      <c r="K431">
        <v>91</v>
      </c>
      <c r="L431">
        <v>4373</v>
      </c>
      <c r="M431">
        <v>131</v>
      </c>
      <c r="N431">
        <v>9</v>
      </c>
      <c r="O431">
        <v>0</v>
      </c>
      <c r="P431">
        <v>249</v>
      </c>
      <c r="Q431">
        <v>0</v>
      </c>
      <c r="R431" s="13">
        <v>201</v>
      </c>
      <c r="S431">
        <v>0</v>
      </c>
      <c r="T431">
        <v>275</v>
      </c>
      <c r="U431">
        <v>0</v>
      </c>
      <c r="V431">
        <v>322</v>
      </c>
      <c r="W431">
        <v>0</v>
      </c>
      <c r="X431">
        <v>1611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100</v>
      </c>
      <c r="AE431">
        <v>20</v>
      </c>
      <c r="AF431">
        <v>178</v>
      </c>
      <c r="AG431">
        <v>0</v>
      </c>
      <c r="AH431">
        <v>34</v>
      </c>
      <c r="AI431">
        <v>0</v>
      </c>
      <c r="AJ431">
        <v>0</v>
      </c>
      <c r="AK431">
        <f t="shared" si="8"/>
        <v>34507</v>
      </c>
    </row>
    <row r="432" spans="1:37" x14ac:dyDescent="0.3">
      <c r="A432">
        <v>966</v>
      </c>
      <c r="C432" t="s">
        <v>96</v>
      </c>
      <c r="D432" t="s">
        <v>7</v>
      </c>
      <c r="E432">
        <v>2400477</v>
      </c>
      <c r="F432" s="1">
        <v>45429</v>
      </c>
      <c r="G432" s="1">
        <v>45435</v>
      </c>
      <c r="H432">
        <v>3503</v>
      </c>
      <c r="I432">
        <v>0</v>
      </c>
      <c r="J432">
        <v>23242</v>
      </c>
      <c r="K432">
        <v>169</v>
      </c>
      <c r="L432">
        <v>268</v>
      </c>
      <c r="M432">
        <v>169</v>
      </c>
      <c r="N432">
        <v>0</v>
      </c>
      <c r="O432">
        <v>0</v>
      </c>
      <c r="P432">
        <v>1407</v>
      </c>
      <c r="Q432">
        <v>0</v>
      </c>
      <c r="R432" s="13">
        <v>40</v>
      </c>
      <c r="S432">
        <v>0</v>
      </c>
      <c r="T432">
        <v>0</v>
      </c>
      <c r="U432">
        <v>0</v>
      </c>
      <c r="V432">
        <v>20</v>
      </c>
      <c r="W432">
        <v>0</v>
      </c>
      <c r="X432">
        <v>28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f t="shared" si="8"/>
        <v>28859</v>
      </c>
    </row>
    <row r="433" spans="1:37" x14ac:dyDescent="0.3">
      <c r="A433">
        <v>968</v>
      </c>
      <c r="C433" t="s">
        <v>96</v>
      </c>
      <c r="D433" t="s">
        <v>7</v>
      </c>
      <c r="E433">
        <v>2400477</v>
      </c>
      <c r="F433" s="1">
        <v>45423</v>
      </c>
      <c r="G433" s="1">
        <v>45428</v>
      </c>
      <c r="H433">
        <v>483</v>
      </c>
      <c r="I433">
        <v>0</v>
      </c>
      <c r="J433">
        <v>20893</v>
      </c>
      <c r="K433">
        <v>90</v>
      </c>
      <c r="L433">
        <v>8307</v>
      </c>
      <c r="M433">
        <v>540</v>
      </c>
      <c r="N433">
        <v>535</v>
      </c>
      <c r="O433">
        <v>18</v>
      </c>
      <c r="P433">
        <v>267</v>
      </c>
      <c r="Q433">
        <v>0</v>
      </c>
      <c r="R433" s="13">
        <v>724</v>
      </c>
      <c r="S433">
        <v>0</v>
      </c>
      <c r="T433">
        <v>0</v>
      </c>
      <c r="U433">
        <v>0</v>
      </c>
      <c r="V433">
        <v>416</v>
      </c>
      <c r="W433">
        <v>0</v>
      </c>
      <c r="X433">
        <v>78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124</v>
      </c>
      <c r="AE433">
        <v>9</v>
      </c>
      <c r="AF433">
        <v>201</v>
      </c>
      <c r="AG433">
        <v>0</v>
      </c>
      <c r="AH433">
        <v>112</v>
      </c>
      <c r="AI433">
        <v>0</v>
      </c>
      <c r="AJ433">
        <v>0</v>
      </c>
      <c r="AK433">
        <f t="shared" si="8"/>
        <v>32797</v>
      </c>
    </row>
    <row r="434" spans="1:37" x14ac:dyDescent="0.3">
      <c r="A434">
        <v>970</v>
      </c>
      <c r="C434" t="s">
        <v>96</v>
      </c>
      <c r="D434" t="s">
        <v>7</v>
      </c>
      <c r="E434">
        <v>2400477</v>
      </c>
      <c r="F434" s="1">
        <v>45415</v>
      </c>
      <c r="G434" s="1">
        <v>45422</v>
      </c>
      <c r="H434">
        <v>1090</v>
      </c>
      <c r="I434">
        <v>0</v>
      </c>
      <c r="J434">
        <v>9915</v>
      </c>
      <c r="K434">
        <v>421</v>
      </c>
      <c r="L434">
        <v>22101</v>
      </c>
      <c r="M434">
        <v>244</v>
      </c>
      <c r="N434">
        <v>27</v>
      </c>
      <c r="O434">
        <v>0</v>
      </c>
      <c r="P434">
        <v>1535</v>
      </c>
      <c r="Q434">
        <v>0</v>
      </c>
      <c r="R434" s="13">
        <v>750</v>
      </c>
      <c r="S434">
        <v>0</v>
      </c>
      <c r="T434">
        <v>94</v>
      </c>
      <c r="U434">
        <v>0</v>
      </c>
      <c r="V434">
        <v>454</v>
      </c>
      <c r="W434">
        <v>0</v>
      </c>
      <c r="X434">
        <v>6072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162</v>
      </c>
      <c r="AE434">
        <v>20</v>
      </c>
      <c r="AF434">
        <v>141</v>
      </c>
      <c r="AG434">
        <v>0</v>
      </c>
      <c r="AH434">
        <v>28</v>
      </c>
      <c r="AI434">
        <v>0</v>
      </c>
      <c r="AJ434">
        <v>0</v>
      </c>
      <c r="AK434">
        <f t="shared" si="8"/>
        <v>43054</v>
      </c>
    </row>
    <row r="435" spans="1:37" x14ac:dyDescent="0.3">
      <c r="A435">
        <v>972</v>
      </c>
      <c r="C435" t="s">
        <v>96</v>
      </c>
      <c r="D435" t="s">
        <v>7</v>
      </c>
      <c r="E435" s="13"/>
      <c r="F435" s="1">
        <v>45412</v>
      </c>
      <c r="G435" s="1">
        <v>45414</v>
      </c>
      <c r="H435">
        <v>739</v>
      </c>
      <c r="I435">
        <v>0</v>
      </c>
      <c r="J435" s="13">
        <v>9370</v>
      </c>
      <c r="K435" s="13">
        <v>215</v>
      </c>
      <c r="L435">
        <v>196</v>
      </c>
      <c r="M435">
        <v>162</v>
      </c>
      <c r="N435">
        <v>0</v>
      </c>
      <c r="O435">
        <v>0</v>
      </c>
      <c r="P435">
        <v>1035</v>
      </c>
      <c r="Q435">
        <v>0</v>
      </c>
      <c r="R435" s="13">
        <v>0</v>
      </c>
      <c r="S435">
        <v>0</v>
      </c>
      <c r="T435">
        <v>0</v>
      </c>
      <c r="U435">
        <v>0</v>
      </c>
      <c r="V435" s="13">
        <v>41</v>
      </c>
      <c r="W435">
        <v>0</v>
      </c>
      <c r="X435">
        <v>62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20</v>
      </c>
      <c r="AG435">
        <v>0</v>
      </c>
      <c r="AH435">
        <v>0</v>
      </c>
      <c r="AI435">
        <v>0</v>
      </c>
      <c r="AJ435">
        <v>0</v>
      </c>
      <c r="AK435">
        <f t="shared" si="8"/>
        <v>11840</v>
      </c>
    </row>
    <row r="436" spans="1:37" x14ac:dyDescent="0.3">
      <c r="A436">
        <v>974</v>
      </c>
      <c r="C436" t="s">
        <v>96</v>
      </c>
      <c r="D436" t="s">
        <v>7</v>
      </c>
      <c r="E436">
        <v>2400479</v>
      </c>
      <c r="F436" s="1">
        <v>45405</v>
      </c>
      <c r="G436" s="1">
        <v>45408</v>
      </c>
      <c r="H436">
        <v>1358</v>
      </c>
      <c r="I436">
        <v>41</v>
      </c>
      <c r="J436" s="13">
        <v>6177</v>
      </c>
      <c r="K436">
        <v>38</v>
      </c>
      <c r="L436">
        <v>25699</v>
      </c>
      <c r="M436">
        <v>48</v>
      </c>
      <c r="N436">
        <v>13</v>
      </c>
      <c r="O436">
        <v>0</v>
      </c>
      <c r="P436">
        <v>0</v>
      </c>
      <c r="Q436">
        <v>0</v>
      </c>
      <c r="R436">
        <v>420</v>
      </c>
      <c r="S436">
        <v>0</v>
      </c>
      <c r="T436">
        <v>1044</v>
      </c>
      <c r="U436">
        <v>0</v>
      </c>
      <c r="V436">
        <v>386</v>
      </c>
      <c r="W436">
        <v>0</v>
      </c>
      <c r="X436">
        <v>520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804</v>
      </c>
      <c r="AE436">
        <v>0</v>
      </c>
      <c r="AF436">
        <v>33</v>
      </c>
      <c r="AG436">
        <v>0</v>
      </c>
      <c r="AH436">
        <v>251</v>
      </c>
      <c r="AI436">
        <v>0</v>
      </c>
      <c r="AJ436">
        <v>0</v>
      </c>
      <c r="AK436">
        <f t="shared" si="8"/>
        <v>36832</v>
      </c>
    </row>
    <row r="437" spans="1:37" x14ac:dyDescent="0.3">
      <c r="A437">
        <v>976</v>
      </c>
      <c r="C437" t="s">
        <v>96</v>
      </c>
      <c r="D437" t="s">
        <v>7</v>
      </c>
      <c r="E437">
        <v>2400479</v>
      </c>
      <c r="F437" s="1">
        <v>45400</v>
      </c>
      <c r="G437" s="1">
        <v>45404</v>
      </c>
      <c r="H437">
        <v>2233</v>
      </c>
      <c r="I437">
        <v>30</v>
      </c>
      <c r="J437">
        <v>28455</v>
      </c>
      <c r="K437">
        <v>158</v>
      </c>
      <c r="L437">
        <v>12107</v>
      </c>
      <c r="M437">
        <v>220</v>
      </c>
      <c r="N437">
        <v>419</v>
      </c>
      <c r="O437">
        <v>0</v>
      </c>
      <c r="P437">
        <v>31</v>
      </c>
      <c r="Q437">
        <v>0</v>
      </c>
      <c r="R437" s="13">
        <v>300</v>
      </c>
      <c r="S437">
        <v>0</v>
      </c>
      <c r="T437">
        <v>932</v>
      </c>
      <c r="U437">
        <v>0</v>
      </c>
      <c r="V437">
        <v>333</v>
      </c>
      <c r="W437">
        <v>0</v>
      </c>
      <c r="X437">
        <v>1323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682</v>
      </c>
      <c r="AE437">
        <v>40</v>
      </c>
      <c r="AF437">
        <v>92</v>
      </c>
      <c r="AG437">
        <v>1</v>
      </c>
      <c r="AH437">
        <v>117</v>
      </c>
      <c r="AI437">
        <v>0</v>
      </c>
      <c r="AJ437">
        <v>0</v>
      </c>
      <c r="AK437">
        <f t="shared" si="8"/>
        <v>47473</v>
      </c>
    </row>
    <row r="438" spans="1:37" x14ac:dyDescent="0.3">
      <c r="A438">
        <v>978</v>
      </c>
      <c r="C438" t="s">
        <v>96</v>
      </c>
      <c r="D438" t="s">
        <v>7</v>
      </c>
      <c r="E438">
        <v>2400479</v>
      </c>
      <c r="F438" s="1">
        <v>45394</v>
      </c>
      <c r="G438" s="1">
        <v>45399</v>
      </c>
      <c r="H438">
        <v>879</v>
      </c>
      <c r="I438">
        <v>3</v>
      </c>
      <c r="J438" s="13">
        <v>18681</v>
      </c>
      <c r="K438">
        <v>102</v>
      </c>
      <c r="L438">
        <v>15437</v>
      </c>
      <c r="M438">
        <v>213</v>
      </c>
      <c r="N438">
        <v>625</v>
      </c>
      <c r="O438">
        <v>0</v>
      </c>
      <c r="P438">
        <v>167</v>
      </c>
      <c r="Q438">
        <v>0</v>
      </c>
      <c r="R438" s="13">
        <v>1364</v>
      </c>
      <c r="S438">
        <v>0</v>
      </c>
      <c r="T438">
        <v>141</v>
      </c>
      <c r="U438">
        <v>0</v>
      </c>
      <c r="V438">
        <v>260</v>
      </c>
      <c r="W438">
        <v>0</v>
      </c>
      <c r="X438">
        <v>988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212</v>
      </c>
      <c r="AE438">
        <v>21</v>
      </c>
      <c r="AF438">
        <v>32</v>
      </c>
      <c r="AG438">
        <v>0</v>
      </c>
      <c r="AH438">
        <v>88</v>
      </c>
      <c r="AI438">
        <v>0</v>
      </c>
      <c r="AJ438">
        <v>0</v>
      </c>
      <c r="AK438">
        <f t="shared" si="8"/>
        <v>39213</v>
      </c>
    </row>
    <row r="439" spans="1:37" x14ac:dyDescent="0.3">
      <c r="A439">
        <v>980</v>
      </c>
      <c r="C439" t="s">
        <v>93</v>
      </c>
      <c r="D439" t="s">
        <v>7</v>
      </c>
      <c r="E439">
        <v>2400479</v>
      </c>
      <c r="F439" s="1">
        <v>45452</v>
      </c>
      <c r="G439" s="1">
        <v>45458</v>
      </c>
      <c r="H439">
        <v>123</v>
      </c>
      <c r="I439">
        <v>286</v>
      </c>
      <c r="J439" s="13">
        <v>6479</v>
      </c>
      <c r="K439">
        <v>3</v>
      </c>
      <c r="L439">
        <v>201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620</v>
      </c>
      <c r="S439">
        <v>0</v>
      </c>
      <c r="T439">
        <v>7</v>
      </c>
      <c r="U439">
        <v>0</v>
      </c>
      <c r="V439">
        <v>283</v>
      </c>
      <c r="W439">
        <v>95</v>
      </c>
      <c r="X439">
        <v>13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1852</v>
      </c>
      <c r="AE439">
        <v>0</v>
      </c>
      <c r="AF439">
        <v>5</v>
      </c>
      <c r="AG439">
        <v>0</v>
      </c>
      <c r="AH439">
        <v>180</v>
      </c>
      <c r="AI439">
        <v>0</v>
      </c>
      <c r="AJ439">
        <v>0</v>
      </c>
      <c r="AK439">
        <f t="shared" si="8"/>
        <v>10147</v>
      </c>
    </row>
    <row r="440" spans="1:37" x14ac:dyDescent="0.3">
      <c r="A440">
        <v>982</v>
      </c>
      <c r="C440" t="s">
        <v>93</v>
      </c>
      <c r="D440" s="16" t="s">
        <v>7</v>
      </c>
      <c r="E440">
        <v>2400479</v>
      </c>
      <c r="F440" s="1">
        <v>45439</v>
      </c>
      <c r="G440" s="1">
        <v>45443</v>
      </c>
      <c r="H440">
        <v>223</v>
      </c>
      <c r="I440">
        <v>86</v>
      </c>
      <c r="J440" s="13">
        <v>2051</v>
      </c>
      <c r="K440">
        <v>5</v>
      </c>
      <c r="L440">
        <v>20</v>
      </c>
      <c r="M440">
        <v>0</v>
      </c>
      <c r="N440">
        <v>0</v>
      </c>
      <c r="O440">
        <v>0</v>
      </c>
      <c r="P440">
        <v>0</v>
      </c>
      <c r="Q440">
        <v>0</v>
      </c>
      <c r="R440" s="13">
        <v>108</v>
      </c>
      <c r="S440">
        <v>0</v>
      </c>
      <c r="T440">
        <v>0</v>
      </c>
      <c r="U440">
        <v>0</v>
      </c>
      <c r="V440" s="13">
        <v>141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220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f t="shared" si="8"/>
        <v>2854</v>
      </c>
    </row>
    <row r="441" spans="1:37" x14ac:dyDescent="0.3">
      <c r="A441">
        <v>984</v>
      </c>
      <c r="C441" t="s">
        <v>93</v>
      </c>
      <c r="D441" t="s">
        <v>7</v>
      </c>
      <c r="E441">
        <v>2400479</v>
      </c>
      <c r="F441" s="1">
        <v>45418</v>
      </c>
      <c r="G441" s="1">
        <v>45422</v>
      </c>
      <c r="H441" s="13">
        <v>4</v>
      </c>
      <c r="I441">
        <v>223</v>
      </c>
      <c r="J441" s="13">
        <v>4468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13"/>
      <c r="S441">
        <v>0</v>
      </c>
      <c r="T441">
        <v>0</v>
      </c>
      <c r="U441">
        <v>0</v>
      </c>
      <c r="V441" s="13"/>
      <c r="W441">
        <v>0</v>
      </c>
      <c r="X441">
        <v>39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162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f t="shared" si="8"/>
        <v>4898</v>
      </c>
    </row>
    <row r="442" spans="1:37" x14ac:dyDescent="0.3">
      <c r="A442">
        <v>986</v>
      </c>
      <c r="C442" t="s">
        <v>93</v>
      </c>
      <c r="D442" t="s">
        <v>7</v>
      </c>
      <c r="E442">
        <v>2400479</v>
      </c>
      <c r="F442" s="1">
        <v>45413</v>
      </c>
      <c r="G442" s="1">
        <v>45416</v>
      </c>
      <c r="H442">
        <v>32</v>
      </c>
      <c r="I442">
        <v>329</v>
      </c>
      <c r="J442" s="13">
        <v>9627</v>
      </c>
      <c r="K442">
        <v>2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 s="13">
        <v>48</v>
      </c>
      <c r="S442">
        <v>0</v>
      </c>
      <c r="T442">
        <v>0</v>
      </c>
      <c r="U442">
        <v>0</v>
      </c>
      <c r="V442">
        <v>399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252</v>
      </c>
      <c r="AE442">
        <v>0</v>
      </c>
      <c r="AF442">
        <v>0</v>
      </c>
      <c r="AG442">
        <v>0</v>
      </c>
      <c r="AH442">
        <v>399</v>
      </c>
      <c r="AI442">
        <v>0</v>
      </c>
      <c r="AJ442">
        <v>0</v>
      </c>
      <c r="AK442">
        <f t="shared" si="8"/>
        <v>11092</v>
      </c>
    </row>
    <row r="443" spans="1:37" x14ac:dyDescent="0.3">
      <c r="A443">
        <v>988</v>
      </c>
      <c r="C443" t="s">
        <v>93</v>
      </c>
      <c r="D443" t="s">
        <v>7</v>
      </c>
      <c r="E443">
        <v>2400479</v>
      </c>
      <c r="F443" s="1">
        <v>45404</v>
      </c>
      <c r="G443" s="1">
        <v>45408</v>
      </c>
      <c r="H443">
        <v>89</v>
      </c>
      <c r="I443">
        <v>669</v>
      </c>
      <c r="J443">
        <v>6493</v>
      </c>
      <c r="K443">
        <v>0</v>
      </c>
      <c r="L443">
        <v>18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132</v>
      </c>
      <c r="S443">
        <v>0</v>
      </c>
      <c r="T443">
        <v>0</v>
      </c>
      <c r="U443">
        <v>0</v>
      </c>
      <c r="V443">
        <v>378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1156</v>
      </c>
      <c r="AE443">
        <v>0</v>
      </c>
      <c r="AF443">
        <v>3</v>
      </c>
      <c r="AG443">
        <v>0</v>
      </c>
      <c r="AH443">
        <v>420</v>
      </c>
      <c r="AI443">
        <v>0</v>
      </c>
      <c r="AJ443">
        <v>0</v>
      </c>
      <c r="AK443">
        <f t="shared" si="8"/>
        <v>9360</v>
      </c>
    </row>
    <row r="444" spans="1:37" x14ac:dyDescent="0.3">
      <c r="A444">
        <v>990</v>
      </c>
      <c r="C444" t="s">
        <v>93</v>
      </c>
      <c r="D444" t="s">
        <v>7</v>
      </c>
      <c r="E444">
        <v>2400479</v>
      </c>
      <c r="F444" s="1">
        <v>45398</v>
      </c>
      <c r="G444" s="1">
        <v>45402</v>
      </c>
      <c r="H444">
        <v>103</v>
      </c>
      <c r="I444">
        <v>90</v>
      </c>
      <c r="J444" s="13">
        <v>7773</v>
      </c>
      <c r="K444">
        <v>2</v>
      </c>
      <c r="L444">
        <v>115</v>
      </c>
      <c r="M444">
        <v>0</v>
      </c>
      <c r="N444">
        <v>0</v>
      </c>
      <c r="O444">
        <v>0</v>
      </c>
      <c r="P444">
        <v>0</v>
      </c>
      <c r="Q444">
        <v>0</v>
      </c>
      <c r="R444" s="13">
        <v>120</v>
      </c>
      <c r="S444">
        <v>0</v>
      </c>
      <c r="T444">
        <v>225</v>
      </c>
      <c r="U444">
        <v>0</v>
      </c>
      <c r="V444" s="13">
        <v>172</v>
      </c>
      <c r="W444">
        <v>0</v>
      </c>
      <c r="X444">
        <v>148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410</v>
      </c>
      <c r="AE444">
        <v>0</v>
      </c>
      <c r="AF444">
        <v>121</v>
      </c>
      <c r="AG444">
        <v>0</v>
      </c>
      <c r="AH444">
        <v>333</v>
      </c>
      <c r="AI444">
        <v>0</v>
      </c>
      <c r="AJ444">
        <v>0</v>
      </c>
      <c r="AK444">
        <f t="shared" si="8"/>
        <v>9612</v>
      </c>
    </row>
    <row r="445" spans="1:37" x14ac:dyDescent="0.3">
      <c r="A445">
        <v>992</v>
      </c>
      <c r="C445" t="s">
        <v>93</v>
      </c>
      <c r="D445" t="s">
        <v>7</v>
      </c>
      <c r="E445">
        <v>2400479</v>
      </c>
      <c r="F445" s="1">
        <v>45394</v>
      </c>
      <c r="G445" s="1">
        <v>45398</v>
      </c>
      <c r="H445">
        <v>112</v>
      </c>
      <c r="I445">
        <v>236</v>
      </c>
      <c r="J445" s="13">
        <v>6893</v>
      </c>
      <c r="K445">
        <v>2</v>
      </c>
      <c r="L445">
        <v>156</v>
      </c>
      <c r="M445">
        <v>0</v>
      </c>
      <c r="N445">
        <v>158</v>
      </c>
      <c r="O445">
        <v>0</v>
      </c>
      <c r="P445">
        <v>0</v>
      </c>
      <c r="Q445">
        <v>0</v>
      </c>
      <c r="R445" s="13">
        <v>352</v>
      </c>
      <c r="S445">
        <v>0</v>
      </c>
      <c r="T445">
        <v>0</v>
      </c>
      <c r="U445">
        <v>0</v>
      </c>
      <c r="V445" s="13">
        <v>220</v>
      </c>
      <c r="W445">
        <v>0</v>
      </c>
      <c r="X445">
        <v>123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328</v>
      </c>
      <c r="AE445">
        <v>0</v>
      </c>
      <c r="AF445">
        <v>51</v>
      </c>
      <c r="AG445">
        <v>0</v>
      </c>
      <c r="AH445">
        <v>93</v>
      </c>
      <c r="AI445">
        <v>0</v>
      </c>
      <c r="AJ445">
        <v>0</v>
      </c>
      <c r="AK445">
        <f t="shared" si="8"/>
        <v>8724</v>
      </c>
    </row>
    <row r="446" spans="1:37" x14ac:dyDescent="0.3">
      <c r="A446">
        <v>994</v>
      </c>
      <c r="C446" t="s">
        <v>114</v>
      </c>
      <c r="D446" t="s">
        <v>100</v>
      </c>
      <c r="E446">
        <v>2402832</v>
      </c>
      <c r="F446" s="1">
        <v>45417</v>
      </c>
      <c r="G446" s="1">
        <v>45424</v>
      </c>
      <c r="H446">
        <v>2032</v>
      </c>
      <c r="I446">
        <v>1</v>
      </c>
      <c r="J446">
        <v>18283</v>
      </c>
      <c r="K446">
        <v>110</v>
      </c>
      <c r="L446">
        <v>631</v>
      </c>
      <c r="M446">
        <v>29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1751</v>
      </c>
      <c r="W446">
        <v>0</v>
      </c>
      <c r="X446">
        <v>3633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404</v>
      </c>
      <c r="AE446">
        <v>0</v>
      </c>
      <c r="AF446">
        <v>162</v>
      </c>
      <c r="AG446">
        <v>0</v>
      </c>
      <c r="AH446">
        <v>32</v>
      </c>
      <c r="AI446">
        <v>19</v>
      </c>
      <c r="AJ446">
        <v>0</v>
      </c>
      <c r="AK446">
        <f t="shared" si="8"/>
        <v>27087</v>
      </c>
    </row>
    <row r="447" spans="1:37" x14ac:dyDescent="0.3">
      <c r="A447">
        <v>997</v>
      </c>
      <c r="C447" t="s">
        <v>114</v>
      </c>
      <c r="D447" t="s">
        <v>100</v>
      </c>
      <c r="E447">
        <v>2402832</v>
      </c>
      <c r="F447" s="1">
        <v>45425</v>
      </c>
      <c r="G447" s="1">
        <v>45432</v>
      </c>
      <c r="H447">
        <v>576</v>
      </c>
      <c r="I447">
        <v>14</v>
      </c>
      <c r="J447">
        <v>16497</v>
      </c>
      <c r="K447">
        <v>367</v>
      </c>
      <c r="L447">
        <v>125</v>
      </c>
      <c r="M447">
        <v>10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1351</v>
      </c>
      <c r="W447">
        <v>0</v>
      </c>
      <c r="X447">
        <v>5217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512</v>
      </c>
      <c r="AE447">
        <v>0</v>
      </c>
      <c r="AF447">
        <v>90</v>
      </c>
      <c r="AG447">
        <v>0</v>
      </c>
      <c r="AH447">
        <v>95</v>
      </c>
      <c r="AI447">
        <v>0</v>
      </c>
      <c r="AJ447">
        <v>0</v>
      </c>
      <c r="AK447">
        <f t="shared" si="8"/>
        <v>24854</v>
      </c>
    </row>
    <row r="448" spans="1:37" x14ac:dyDescent="0.3">
      <c r="A448">
        <v>1000</v>
      </c>
      <c r="C448" t="s">
        <v>114</v>
      </c>
      <c r="D448" t="s">
        <v>100</v>
      </c>
      <c r="E448">
        <v>2402832</v>
      </c>
      <c r="F448" s="1">
        <v>45432</v>
      </c>
      <c r="G448" s="1">
        <v>45440</v>
      </c>
      <c r="H448">
        <v>381</v>
      </c>
      <c r="I448">
        <v>50</v>
      </c>
      <c r="J448">
        <v>16681</v>
      </c>
      <c r="K448">
        <v>294</v>
      </c>
      <c r="L448">
        <v>229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979</v>
      </c>
      <c r="W448">
        <v>0</v>
      </c>
      <c r="X448">
        <v>4829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375</v>
      </c>
      <c r="AE448">
        <v>0</v>
      </c>
      <c r="AF448">
        <v>28</v>
      </c>
      <c r="AG448">
        <v>0</v>
      </c>
      <c r="AH448">
        <v>13</v>
      </c>
      <c r="AI448">
        <v>136</v>
      </c>
      <c r="AJ448">
        <v>0</v>
      </c>
      <c r="AK448">
        <f t="shared" si="8"/>
        <v>23995</v>
      </c>
    </row>
    <row r="449" spans="1:37" x14ac:dyDescent="0.3">
      <c r="A449">
        <v>1002</v>
      </c>
      <c r="C449" t="s">
        <v>114</v>
      </c>
      <c r="D449" s="4"/>
      <c r="E449" s="4"/>
      <c r="F449" s="1">
        <v>45204</v>
      </c>
      <c r="G449" s="1">
        <v>45210</v>
      </c>
      <c r="H449" s="4"/>
      <c r="I449" s="4"/>
      <c r="J449" s="4"/>
      <c r="K449" s="4"/>
      <c r="L449" s="4">
        <v>572</v>
      </c>
      <c r="M449" s="4"/>
      <c r="N449" s="4"/>
      <c r="O449" s="4"/>
      <c r="P449" s="4"/>
      <c r="Q449" s="4"/>
      <c r="R449">
        <v>0</v>
      </c>
      <c r="S449">
        <v>0</v>
      </c>
      <c r="T449">
        <v>0</v>
      </c>
      <c r="U449">
        <v>0</v>
      </c>
      <c r="V449">
        <v>397</v>
      </c>
      <c r="W449">
        <v>86</v>
      </c>
      <c r="X449">
        <v>5954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1054</v>
      </c>
      <c r="AE449">
        <v>0</v>
      </c>
      <c r="AF449">
        <v>315</v>
      </c>
      <c r="AG449">
        <v>0</v>
      </c>
      <c r="AH449">
        <v>35</v>
      </c>
      <c r="AI449">
        <v>319</v>
      </c>
      <c r="AJ449">
        <v>1</v>
      </c>
      <c r="AK449">
        <f t="shared" si="8"/>
        <v>8733</v>
      </c>
    </row>
    <row r="450" spans="1:37" x14ac:dyDescent="0.3">
      <c r="A450">
        <v>1005</v>
      </c>
      <c r="C450" t="s">
        <v>114</v>
      </c>
      <c r="D450" t="s">
        <v>100</v>
      </c>
      <c r="E450">
        <v>2304729</v>
      </c>
      <c r="F450" s="1">
        <v>45211</v>
      </c>
      <c r="G450" s="1">
        <v>45216</v>
      </c>
      <c r="H450">
        <v>41</v>
      </c>
      <c r="I450">
        <v>24</v>
      </c>
      <c r="J450">
        <v>3560</v>
      </c>
      <c r="K450">
        <v>86</v>
      </c>
      <c r="L450">
        <v>238</v>
      </c>
      <c r="M450">
        <v>0</v>
      </c>
      <c r="N450">
        <v>0</v>
      </c>
      <c r="O450">
        <v>0</v>
      </c>
      <c r="P450">
        <v>0</v>
      </c>
      <c r="Q450">
        <v>0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>
        <f t="shared" si="8"/>
        <v>3949</v>
      </c>
    </row>
    <row r="451" spans="1:37" x14ac:dyDescent="0.3">
      <c r="A451">
        <v>1007</v>
      </c>
      <c r="C451" t="s">
        <v>114</v>
      </c>
      <c r="D451" t="s">
        <v>100</v>
      </c>
      <c r="E451">
        <v>2304729</v>
      </c>
      <c r="F451" s="1">
        <v>45217</v>
      </c>
      <c r="G451" s="1">
        <v>45223</v>
      </c>
      <c r="H451">
        <v>278</v>
      </c>
      <c r="I451">
        <v>111</v>
      </c>
      <c r="J451">
        <v>5113</v>
      </c>
      <c r="K451">
        <v>53</v>
      </c>
      <c r="L451">
        <v>812</v>
      </c>
      <c r="M451">
        <v>0</v>
      </c>
      <c r="N451">
        <v>0</v>
      </c>
      <c r="O451">
        <v>0</v>
      </c>
      <c r="P451">
        <v>0</v>
      </c>
      <c r="Q451">
        <v>0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>
        <f t="shared" si="8"/>
        <v>6367</v>
      </c>
    </row>
    <row r="452" spans="1:37" x14ac:dyDescent="0.3">
      <c r="AK452">
        <f t="shared" si="8"/>
        <v>0</v>
      </c>
    </row>
    <row r="453" spans="1:37" x14ac:dyDescent="0.3">
      <c r="AK453">
        <f t="shared" si="8"/>
        <v>0</v>
      </c>
    </row>
    <row r="454" spans="1:37" x14ac:dyDescent="0.3">
      <c r="AK454">
        <f t="shared" si="8"/>
        <v>0</v>
      </c>
    </row>
    <row r="455" spans="1:37" x14ac:dyDescent="0.3">
      <c r="AK455">
        <f t="shared" si="8"/>
        <v>0</v>
      </c>
    </row>
    <row r="456" spans="1:37" x14ac:dyDescent="0.3">
      <c r="AK456">
        <f t="shared" si="8"/>
        <v>0</v>
      </c>
    </row>
    <row r="457" spans="1:37" x14ac:dyDescent="0.3">
      <c r="AK457">
        <f t="shared" si="8"/>
        <v>0</v>
      </c>
    </row>
    <row r="458" spans="1:37" x14ac:dyDescent="0.3">
      <c r="AK458">
        <f t="shared" si="8"/>
        <v>0</v>
      </c>
    </row>
    <row r="459" spans="1:37" x14ac:dyDescent="0.3">
      <c r="AK459">
        <f t="shared" si="8"/>
        <v>0</v>
      </c>
    </row>
    <row r="460" spans="1:37" x14ac:dyDescent="0.3">
      <c r="AK460">
        <f t="shared" si="8"/>
        <v>0</v>
      </c>
    </row>
    <row r="461" spans="1:37" x14ac:dyDescent="0.3">
      <c r="AK461">
        <f t="shared" si="8"/>
        <v>0</v>
      </c>
    </row>
    <row r="462" spans="1:37" x14ac:dyDescent="0.3">
      <c r="AK462">
        <f t="shared" si="8"/>
        <v>0</v>
      </c>
    </row>
    <row r="463" spans="1:37" x14ac:dyDescent="0.3">
      <c r="AK463">
        <f t="shared" si="8"/>
        <v>0</v>
      </c>
    </row>
    <row r="464" spans="1:37" x14ac:dyDescent="0.3">
      <c r="AK464">
        <f t="shared" si="8"/>
        <v>0</v>
      </c>
    </row>
    <row r="465" spans="37:37" x14ac:dyDescent="0.3">
      <c r="AK465">
        <f t="shared" si="8"/>
        <v>0</v>
      </c>
    </row>
    <row r="466" spans="37:37" x14ac:dyDescent="0.3">
      <c r="AK466">
        <f t="shared" si="8"/>
        <v>0</v>
      </c>
    </row>
    <row r="467" spans="37:37" x14ac:dyDescent="0.3">
      <c r="AK467">
        <f t="shared" si="8"/>
        <v>0</v>
      </c>
    </row>
    <row r="468" spans="37:37" x14ac:dyDescent="0.3">
      <c r="AK468">
        <f t="shared" si="8"/>
        <v>0</v>
      </c>
    </row>
    <row r="469" spans="37:37" x14ac:dyDescent="0.3">
      <c r="AK469">
        <f t="shared" ref="AK469:AK532" si="9">SUM(H469:AJ469)</f>
        <v>0</v>
      </c>
    </row>
    <row r="470" spans="37:37" x14ac:dyDescent="0.3">
      <c r="AK470">
        <f t="shared" si="9"/>
        <v>0</v>
      </c>
    </row>
    <row r="471" spans="37:37" x14ac:dyDescent="0.3">
      <c r="AK471">
        <f t="shared" si="9"/>
        <v>0</v>
      </c>
    </row>
    <row r="472" spans="37:37" x14ac:dyDescent="0.3">
      <c r="AK472">
        <f t="shared" si="9"/>
        <v>0</v>
      </c>
    </row>
    <row r="473" spans="37:37" x14ac:dyDescent="0.3">
      <c r="AK473">
        <f t="shared" si="9"/>
        <v>0</v>
      </c>
    </row>
    <row r="474" spans="37:37" x14ac:dyDescent="0.3">
      <c r="AK474">
        <f t="shared" si="9"/>
        <v>0</v>
      </c>
    </row>
    <row r="475" spans="37:37" x14ac:dyDescent="0.3">
      <c r="AK475">
        <f t="shared" si="9"/>
        <v>0</v>
      </c>
    </row>
    <row r="476" spans="37:37" x14ac:dyDescent="0.3">
      <c r="AK476">
        <f t="shared" si="9"/>
        <v>0</v>
      </c>
    </row>
    <row r="477" spans="37:37" x14ac:dyDescent="0.3">
      <c r="AK477">
        <f t="shared" si="9"/>
        <v>0</v>
      </c>
    </row>
    <row r="478" spans="37:37" x14ac:dyDescent="0.3">
      <c r="AK478">
        <f t="shared" si="9"/>
        <v>0</v>
      </c>
    </row>
    <row r="479" spans="37:37" x14ac:dyDescent="0.3">
      <c r="AK479">
        <f t="shared" si="9"/>
        <v>0</v>
      </c>
    </row>
    <row r="480" spans="37:37" x14ac:dyDescent="0.3">
      <c r="AK480">
        <f t="shared" si="9"/>
        <v>0</v>
      </c>
    </row>
    <row r="481" spans="37:37" x14ac:dyDescent="0.3">
      <c r="AK481">
        <f t="shared" si="9"/>
        <v>0</v>
      </c>
    </row>
    <row r="482" spans="37:37" x14ac:dyDescent="0.3">
      <c r="AK482">
        <f t="shared" si="9"/>
        <v>0</v>
      </c>
    </row>
    <row r="483" spans="37:37" x14ac:dyDescent="0.3">
      <c r="AK483">
        <f t="shared" si="9"/>
        <v>0</v>
      </c>
    </row>
    <row r="484" spans="37:37" x14ac:dyDescent="0.3">
      <c r="AK484">
        <f t="shared" si="9"/>
        <v>0</v>
      </c>
    </row>
    <row r="485" spans="37:37" x14ac:dyDescent="0.3">
      <c r="AK485">
        <f t="shared" si="9"/>
        <v>0</v>
      </c>
    </row>
    <row r="486" spans="37:37" x14ac:dyDescent="0.3">
      <c r="AK486">
        <f t="shared" si="9"/>
        <v>0</v>
      </c>
    </row>
    <row r="487" spans="37:37" x14ac:dyDescent="0.3">
      <c r="AK487">
        <f t="shared" si="9"/>
        <v>0</v>
      </c>
    </row>
    <row r="488" spans="37:37" x14ac:dyDescent="0.3">
      <c r="AK488">
        <f t="shared" si="9"/>
        <v>0</v>
      </c>
    </row>
    <row r="489" spans="37:37" x14ac:dyDescent="0.3">
      <c r="AK489">
        <f t="shared" si="9"/>
        <v>0</v>
      </c>
    </row>
    <row r="490" spans="37:37" x14ac:dyDescent="0.3">
      <c r="AK490">
        <f t="shared" si="9"/>
        <v>0</v>
      </c>
    </row>
    <row r="491" spans="37:37" x14ac:dyDescent="0.3">
      <c r="AK491">
        <f t="shared" si="9"/>
        <v>0</v>
      </c>
    </row>
    <row r="492" spans="37:37" x14ac:dyDescent="0.3">
      <c r="AK492">
        <f t="shared" si="9"/>
        <v>0</v>
      </c>
    </row>
    <row r="493" spans="37:37" x14ac:dyDescent="0.3">
      <c r="AK493">
        <f t="shared" si="9"/>
        <v>0</v>
      </c>
    </row>
    <row r="494" spans="37:37" x14ac:dyDescent="0.3">
      <c r="AK494">
        <f t="shared" si="9"/>
        <v>0</v>
      </c>
    </row>
    <row r="495" spans="37:37" x14ac:dyDescent="0.3">
      <c r="AK495">
        <f t="shared" si="9"/>
        <v>0</v>
      </c>
    </row>
    <row r="496" spans="37:37" x14ac:dyDescent="0.3">
      <c r="AK496">
        <f t="shared" si="9"/>
        <v>0</v>
      </c>
    </row>
    <row r="497" spans="37:37" x14ac:dyDescent="0.3">
      <c r="AK497">
        <f t="shared" si="9"/>
        <v>0</v>
      </c>
    </row>
    <row r="498" spans="37:37" x14ac:dyDescent="0.3">
      <c r="AK498">
        <f t="shared" si="9"/>
        <v>0</v>
      </c>
    </row>
    <row r="499" spans="37:37" x14ac:dyDescent="0.3">
      <c r="AK499">
        <f t="shared" si="9"/>
        <v>0</v>
      </c>
    </row>
    <row r="500" spans="37:37" x14ac:dyDescent="0.3">
      <c r="AK500">
        <f t="shared" si="9"/>
        <v>0</v>
      </c>
    </row>
    <row r="501" spans="37:37" x14ac:dyDescent="0.3">
      <c r="AK501">
        <f t="shared" si="9"/>
        <v>0</v>
      </c>
    </row>
    <row r="502" spans="37:37" x14ac:dyDescent="0.3">
      <c r="AK502">
        <f t="shared" si="9"/>
        <v>0</v>
      </c>
    </row>
    <row r="503" spans="37:37" x14ac:dyDescent="0.3">
      <c r="AK503">
        <f t="shared" si="9"/>
        <v>0</v>
      </c>
    </row>
    <row r="504" spans="37:37" x14ac:dyDescent="0.3">
      <c r="AK504">
        <f t="shared" si="9"/>
        <v>0</v>
      </c>
    </row>
    <row r="505" spans="37:37" x14ac:dyDescent="0.3">
      <c r="AK505">
        <f t="shared" si="9"/>
        <v>0</v>
      </c>
    </row>
    <row r="506" spans="37:37" x14ac:dyDescent="0.3">
      <c r="AK506">
        <f t="shared" si="9"/>
        <v>0</v>
      </c>
    </row>
    <row r="507" spans="37:37" x14ac:dyDescent="0.3">
      <c r="AK507">
        <f t="shared" si="9"/>
        <v>0</v>
      </c>
    </row>
    <row r="508" spans="37:37" x14ac:dyDescent="0.3">
      <c r="AK508">
        <f t="shared" si="9"/>
        <v>0</v>
      </c>
    </row>
    <row r="509" spans="37:37" x14ac:dyDescent="0.3">
      <c r="AK509">
        <f t="shared" si="9"/>
        <v>0</v>
      </c>
    </row>
    <row r="510" spans="37:37" x14ac:dyDescent="0.3">
      <c r="AK510">
        <f t="shared" si="9"/>
        <v>0</v>
      </c>
    </row>
    <row r="511" spans="37:37" x14ac:dyDescent="0.3">
      <c r="AK511">
        <f t="shared" si="9"/>
        <v>0</v>
      </c>
    </row>
    <row r="512" spans="37:37" x14ac:dyDescent="0.3">
      <c r="AK512">
        <f t="shared" si="9"/>
        <v>0</v>
      </c>
    </row>
    <row r="513" spans="37:37" x14ac:dyDescent="0.3">
      <c r="AK513">
        <f t="shared" si="9"/>
        <v>0</v>
      </c>
    </row>
    <row r="514" spans="37:37" x14ac:dyDescent="0.3">
      <c r="AK514">
        <f t="shared" si="9"/>
        <v>0</v>
      </c>
    </row>
    <row r="515" spans="37:37" x14ac:dyDescent="0.3">
      <c r="AK515">
        <f t="shared" si="9"/>
        <v>0</v>
      </c>
    </row>
    <row r="516" spans="37:37" x14ac:dyDescent="0.3">
      <c r="AK516">
        <f t="shared" si="9"/>
        <v>0</v>
      </c>
    </row>
    <row r="517" spans="37:37" x14ac:dyDescent="0.3">
      <c r="AK517">
        <f t="shared" si="9"/>
        <v>0</v>
      </c>
    </row>
    <row r="518" spans="37:37" x14ac:dyDescent="0.3">
      <c r="AK518">
        <f t="shared" si="9"/>
        <v>0</v>
      </c>
    </row>
    <row r="519" spans="37:37" x14ac:dyDescent="0.3">
      <c r="AK519">
        <f t="shared" si="9"/>
        <v>0</v>
      </c>
    </row>
    <row r="520" spans="37:37" x14ac:dyDescent="0.3">
      <c r="AK520">
        <f t="shared" si="9"/>
        <v>0</v>
      </c>
    </row>
    <row r="521" spans="37:37" x14ac:dyDescent="0.3">
      <c r="AK521">
        <f t="shared" si="9"/>
        <v>0</v>
      </c>
    </row>
    <row r="522" spans="37:37" x14ac:dyDescent="0.3">
      <c r="AK522">
        <f t="shared" si="9"/>
        <v>0</v>
      </c>
    </row>
    <row r="523" spans="37:37" x14ac:dyDescent="0.3">
      <c r="AK523">
        <f t="shared" si="9"/>
        <v>0</v>
      </c>
    </row>
    <row r="524" spans="37:37" x14ac:dyDescent="0.3">
      <c r="AK524">
        <f t="shared" si="9"/>
        <v>0</v>
      </c>
    </row>
    <row r="525" spans="37:37" x14ac:dyDescent="0.3">
      <c r="AK525">
        <f t="shared" si="9"/>
        <v>0</v>
      </c>
    </row>
    <row r="526" spans="37:37" x14ac:dyDescent="0.3">
      <c r="AK526">
        <f t="shared" si="9"/>
        <v>0</v>
      </c>
    </row>
    <row r="527" spans="37:37" x14ac:dyDescent="0.3">
      <c r="AK527">
        <f t="shared" si="9"/>
        <v>0</v>
      </c>
    </row>
    <row r="528" spans="37:37" x14ac:dyDescent="0.3">
      <c r="AK528">
        <f t="shared" si="9"/>
        <v>0</v>
      </c>
    </row>
    <row r="529" spans="37:37" x14ac:dyDescent="0.3">
      <c r="AK529">
        <f t="shared" si="9"/>
        <v>0</v>
      </c>
    </row>
    <row r="530" spans="37:37" x14ac:dyDescent="0.3">
      <c r="AK530">
        <f t="shared" si="9"/>
        <v>0</v>
      </c>
    </row>
    <row r="531" spans="37:37" x14ac:dyDescent="0.3">
      <c r="AK531">
        <f t="shared" si="9"/>
        <v>0</v>
      </c>
    </row>
    <row r="532" spans="37:37" x14ac:dyDescent="0.3">
      <c r="AK532">
        <f t="shared" si="9"/>
        <v>0</v>
      </c>
    </row>
    <row r="533" spans="37:37" x14ac:dyDescent="0.3">
      <c r="AK533">
        <f t="shared" ref="AK533:AK596" si="10">SUM(H533:AJ533)</f>
        <v>0</v>
      </c>
    </row>
    <row r="534" spans="37:37" x14ac:dyDescent="0.3">
      <c r="AK534">
        <f t="shared" si="10"/>
        <v>0</v>
      </c>
    </row>
    <row r="535" spans="37:37" x14ac:dyDescent="0.3">
      <c r="AK535">
        <f t="shared" si="10"/>
        <v>0</v>
      </c>
    </row>
    <row r="536" spans="37:37" x14ac:dyDescent="0.3">
      <c r="AK536">
        <f t="shared" si="10"/>
        <v>0</v>
      </c>
    </row>
    <row r="537" spans="37:37" x14ac:dyDescent="0.3">
      <c r="AK537">
        <f t="shared" si="10"/>
        <v>0</v>
      </c>
    </row>
    <row r="538" spans="37:37" x14ac:dyDescent="0.3">
      <c r="AK538">
        <f t="shared" si="10"/>
        <v>0</v>
      </c>
    </row>
    <row r="539" spans="37:37" x14ac:dyDescent="0.3">
      <c r="AK539">
        <f t="shared" si="10"/>
        <v>0</v>
      </c>
    </row>
    <row r="540" spans="37:37" x14ac:dyDescent="0.3">
      <c r="AK540">
        <f t="shared" si="10"/>
        <v>0</v>
      </c>
    </row>
    <row r="541" spans="37:37" x14ac:dyDescent="0.3">
      <c r="AK541">
        <f t="shared" si="10"/>
        <v>0</v>
      </c>
    </row>
    <row r="542" spans="37:37" x14ac:dyDescent="0.3">
      <c r="AK542">
        <f t="shared" si="10"/>
        <v>0</v>
      </c>
    </row>
    <row r="543" spans="37:37" x14ac:dyDescent="0.3">
      <c r="AK543">
        <f t="shared" si="10"/>
        <v>0</v>
      </c>
    </row>
    <row r="544" spans="37:37" x14ac:dyDescent="0.3">
      <c r="AK544">
        <f t="shared" si="10"/>
        <v>0</v>
      </c>
    </row>
    <row r="545" spans="37:37" x14ac:dyDescent="0.3">
      <c r="AK545">
        <f t="shared" si="10"/>
        <v>0</v>
      </c>
    </row>
    <row r="546" spans="37:37" x14ac:dyDescent="0.3">
      <c r="AK546">
        <f t="shared" si="10"/>
        <v>0</v>
      </c>
    </row>
    <row r="547" spans="37:37" x14ac:dyDescent="0.3">
      <c r="AK547">
        <f t="shared" si="10"/>
        <v>0</v>
      </c>
    </row>
    <row r="548" spans="37:37" x14ac:dyDescent="0.3">
      <c r="AK548">
        <f t="shared" si="10"/>
        <v>0</v>
      </c>
    </row>
    <row r="549" spans="37:37" x14ac:dyDescent="0.3">
      <c r="AK549">
        <f t="shared" si="10"/>
        <v>0</v>
      </c>
    </row>
    <row r="550" spans="37:37" x14ac:dyDescent="0.3">
      <c r="AK550">
        <f t="shared" si="10"/>
        <v>0</v>
      </c>
    </row>
    <row r="551" spans="37:37" x14ac:dyDescent="0.3">
      <c r="AK551">
        <f t="shared" si="10"/>
        <v>0</v>
      </c>
    </row>
    <row r="552" spans="37:37" x14ac:dyDescent="0.3">
      <c r="AK552">
        <f t="shared" si="10"/>
        <v>0</v>
      </c>
    </row>
    <row r="553" spans="37:37" x14ac:dyDescent="0.3">
      <c r="AK553">
        <f t="shared" si="10"/>
        <v>0</v>
      </c>
    </row>
    <row r="554" spans="37:37" x14ac:dyDescent="0.3">
      <c r="AK554">
        <f t="shared" si="10"/>
        <v>0</v>
      </c>
    </row>
    <row r="555" spans="37:37" x14ac:dyDescent="0.3">
      <c r="AK555">
        <f t="shared" si="10"/>
        <v>0</v>
      </c>
    </row>
    <row r="556" spans="37:37" x14ac:dyDescent="0.3">
      <c r="AK556">
        <f t="shared" si="10"/>
        <v>0</v>
      </c>
    </row>
    <row r="557" spans="37:37" x14ac:dyDescent="0.3">
      <c r="AK557">
        <f t="shared" si="10"/>
        <v>0</v>
      </c>
    </row>
    <row r="558" spans="37:37" x14ac:dyDescent="0.3">
      <c r="AK558">
        <f t="shared" si="10"/>
        <v>0</v>
      </c>
    </row>
    <row r="559" spans="37:37" x14ac:dyDescent="0.3">
      <c r="AK559">
        <f t="shared" si="10"/>
        <v>0</v>
      </c>
    </row>
    <row r="560" spans="37:37" x14ac:dyDescent="0.3">
      <c r="AK560">
        <f t="shared" si="10"/>
        <v>0</v>
      </c>
    </row>
    <row r="561" spans="37:37" x14ac:dyDescent="0.3">
      <c r="AK561">
        <f t="shared" si="10"/>
        <v>0</v>
      </c>
    </row>
    <row r="562" spans="37:37" x14ac:dyDescent="0.3">
      <c r="AK562">
        <f t="shared" si="10"/>
        <v>0</v>
      </c>
    </row>
    <row r="563" spans="37:37" x14ac:dyDescent="0.3">
      <c r="AK563">
        <f t="shared" si="10"/>
        <v>0</v>
      </c>
    </row>
    <row r="564" spans="37:37" x14ac:dyDescent="0.3">
      <c r="AK564">
        <f t="shared" si="10"/>
        <v>0</v>
      </c>
    </row>
    <row r="565" spans="37:37" x14ac:dyDescent="0.3">
      <c r="AK565">
        <f t="shared" si="10"/>
        <v>0</v>
      </c>
    </row>
    <row r="566" spans="37:37" x14ac:dyDescent="0.3">
      <c r="AK566">
        <f t="shared" si="10"/>
        <v>0</v>
      </c>
    </row>
    <row r="567" spans="37:37" x14ac:dyDescent="0.3">
      <c r="AK567">
        <f t="shared" si="10"/>
        <v>0</v>
      </c>
    </row>
    <row r="568" spans="37:37" x14ac:dyDescent="0.3">
      <c r="AK568">
        <f t="shared" si="10"/>
        <v>0</v>
      </c>
    </row>
    <row r="569" spans="37:37" x14ac:dyDescent="0.3">
      <c r="AK569">
        <f t="shared" si="10"/>
        <v>0</v>
      </c>
    </row>
    <row r="570" spans="37:37" x14ac:dyDescent="0.3">
      <c r="AK570">
        <f t="shared" si="10"/>
        <v>0</v>
      </c>
    </row>
    <row r="571" spans="37:37" x14ac:dyDescent="0.3">
      <c r="AK571">
        <f t="shared" si="10"/>
        <v>0</v>
      </c>
    </row>
    <row r="572" spans="37:37" x14ac:dyDescent="0.3">
      <c r="AK572">
        <f t="shared" si="10"/>
        <v>0</v>
      </c>
    </row>
    <row r="573" spans="37:37" x14ac:dyDescent="0.3">
      <c r="AK573">
        <f t="shared" si="10"/>
        <v>0</v>
      </c>
    </row>
    <row r="574" spans="37:37" x14ac:dyDescent="0.3">
      <c r="AK574">
        <f t="shared" si="10"/>
        <v>0</v>
      </c>
    </row>
    <row r="575" spans="37:37" x14ac:dyDescent="0.3">
      <c r="AK575">
        <f t="shared" si="10"/>
        <v>0</v>
      </c>
    </row>
    <row r="576" spans="37:37" x14ac:dyDescent="0.3">
      <c r="AK576">
        <f t="shared" si="10"/>
        <v>0</v>
      </c>
    </row>
    <row r="577" spans="37:37" x14ac:dyDescent="0.3">
      <c r="AK577">
        <f t="shared" si="10"/>
        <v>0</v>
      </c>
    </row>
    <row r="578" spans="37:37" x14ac:dyDescent="0.3">
      <c r="AK578">
        <f t="shared" si="10"/>
        <v>0</v>
      </c>
    </row>
    <row r="579" spans="37:37" x14ac:dyDescent="0.3">
      <c r="AK579">
        <f t="shared" si="10"/>
        <v>0</v>
      </c>
    </row>
    <row r="580" spans="37:37" x14ac:dyDescent="0.3">
      <c r="AK580">
        <f t="shared" si="10"/>
        <v>0</v>
      </c>
    </row>
    <row r="581" spans="37:37" x14ac:dyDescent="0.3">
      <c r="AK581">
        <f t="shared" si="10"/>
        <v>0</v>
      </c>
    </row>
    <row r="582" spans="37:37" x14ac:dyDescent="0.3">
      <c r="AK582">
        <f t="shared" si="10"/>
        <v>0</v>
      </c>
    </row>
    <row r="583" spans="37:37" x14ac:dyDescent="0.3">
      <c r="AK583">
        <f t="shared" si="10"/>
        <v>0</v>
      </c>
    </row>
    <row r="584" spans="37:37" x14ac:dyDescent="0.3">
      <c r="AK584">
        <f t="shared" si="10"/>
        <v>0</v>
      </c>
    </row>
    <row r="585" spans="37:37" x14ac:dyDescent="0.3">
      <c r="AK585">
        <f t="shared" si="10"/>
        <v>0</v>
      </c>
    </row>
    <row r="586" spans="37:37" x14ac:dyDescent="0.3">
      <c r="AK586">
        <f t="shared" si="10"/>
        <v>0</v>
      </c>
    </row>
    <row r="587" spans="37:37" x14ac:dyDescent="0.3">
      <c r="AK587">
        <f t="shared" si="10"/>
        <v>0</v>
      </c>
    </row>
    <row r="588" spans="37:37" x14ac:dyDescent="0.3">
      <c r="AK588">
        <f t="shared" si="10"/>
        <v>0</v>
      </c>
    </row>
    <row r="589" spans="37:37" x14ac:dyDescent="0.3">
      <c r="AK589">
        <f t="shared" si="10"/>
        <v>0</v>
      </c>
    </row>
    <row r="590" spans="37:37" x14ac:dyDescent="0.3">
      <c r="AK590">
        <f t="shared" si="10"/>
        <v>0</v>
      </c>
    </row>
    <row r="591" spans="37:37" x14ac:dyDescent="0.3">
      <c r="AK591">
        <f t="shared" si="10"/>
        <v>0</v>
      </c>
    </row>
    <row r="592" spans="37:37" x14ac:dyDescent="0.3">
      <c r="AK592">
        <f t="shared" si="10"/>
        <v>0</v>
      </c>
    </row>
    <row r="593" spans="37:37" x14ac:dyDescent="0.3">
      <c r="AK593">
        <f t="shared" si="10"/>
        <v>0</v>
      </c>
    </row>
    <row r="594" spans="37:37" x14ac:dyDescent="0.3">
      <c r="AK594">
        <f t="shared" si="10"/>
        <v>0</v>
      </c>
    </row>
    <row r="595" spans="37:37" x14ac:dyDescent="0.3">
      <c r="AK595">
        <f t="shared" si="10"/>
        <v>0</v>
      </c>
    </row>
    <row r="596" spans="37:37" x14ac:dyDescent="0.3">
      <c r="AK596">
        <f t="shared" si="10"/>
        <v>0</v>
      </c>
    </row>
    <row r="597" spans="37:37" x14ac:dyDescent="0.3">
      <c r="AK597">
        <f t="shared" ref="AK597:AK659" si="11">SUM(H597:AJ597)</f>
        <v>0</v>
      </c>
    </row>
    <row r="598" spans="37:37" x14ac:dyDescent="0.3">
      <c r="AK598">
        <f t="shared" si="11"/>
        <v>0</v>
      </c>
    </row>
    <row r="599" spans="37:37" x14ac:dyDescent="0.3">
      <c r="AK599">
        <f t="shared" si="11"/>
        <v>0</v>
      </c>
    </row>
    <row r="600" spans="37:37" x14ac:dyDescent="0.3">
      <c r="AK600">
        <f t="shared" si="11"/>
        <v>0</v>
      </c>
    </row>
    <row r="601" spans="37:37" x14ac:dyDescent="0.3">
      <c r="AK601">
        <f t="shared" si="11"/>
        <v>0</v>
      </c>
    </row>
    <row r="602" spans="37:37" x14ac:dyDescent="0.3">
      <c r="AK602">
        <f t="shared" si="11"/>
        <v>0</v>
      </c>
    </row>
    <row r="603" spans="37:37" x14ac:dyDescent="0.3">
      <c r="AK603">
        <f t="shared" si="11"/>
        <v>0</v>
      </c>
    </row>
    <row r="604" spans="37:37" x14ac:dyDescent="0.3">
      <c r="AK604">
        <f t="shared" si="11"/>
        <v>0</v>
      </c>
    </row>
    <row r="605" spans="37:37" x14ac:dyDescent="0.3">
      <c r="AK605">
        <f t="shared" si="11"/>
        <v>0</v>
      </c>
    </row>
    <row r="606" spans="37:37" x14ac:dyDescent="0.3">
      <c r="AK606">
        <f t="shared" si="11"/>
        <v>0</v>
      </c>
    </row>
    <row r="607" spans="37:37" x14ac:dyDescent="0.3">
      <c r="AK607">
        <f t="shared" si="11"/>
        <v>0</v>
      </c>
    </row>
    <row r="608" spans="37:37" x14ac:dyDescent="0.3">
      <c r="AK608">
        <f t="shared" si="11"/>
        <v>0</v>
      </c>
    </row>
    <row r="609" spans="37:37" x14ac:dyDescent="0.3">
      <c r="AK609">
        <f t="shared" si="11"/>
        <v>0</v>
      </c>
    </row>
    <row r="610" spans="37:37" x14ac:dyDescent="0.3">
      <c r="AK610">
        <f t="shared" si="11"/>
        <v>0</v>
      </c>
    </row>
    <row r="611" spans="37:37" x14ac:dyDescent="0.3">
      <c r="AK611">
        <f t="shared" si="11"/>
        <v>0</v>
      </c>
    </row>
    <row r="612" spans="37:37" x14ac:dyDescent="0.3">
      <c r="AK612">
        <f t="shared" si="11"/>
        <v>0</v>
      </c>
    </row>
    <row r="613" spans="37:37" x14ac:dyDescent="0.3">
      <c r="AK613">
        <f t="shared" si="11"/>
        <v>0</v>
      </c>
    </row>
    <row r="614" spans="37:37" x14ac:dyDescent="0.3">
      <c r="AK614">
        <f t="shared" si="11"/>
        <v>0</v>
      </c>
    </row>
    <row r="615" spans="37:37" x14ac:dyDescent="0.3">
      <c r="AK615">
        <f t="shared" si="11"/>
        <v>0</v>
      </c>
    </row>
    <row r="616" spans="37:37" x14ac:dyDescent="0.3">
      <c r="AK616">
        <f t="shared" si="11"/>
        <v>0</v>
      </c>
    </row>
    <row r="617" spans="37:37" x14ac:dyDescent="0.3">
      <c r="AK617">
        <f t="shared" si="11"/>
        <v>0</v>
      </c>
    </row>
    <row r="618" spans="37:37" x14ac:dyDescent="0.3">
      <c r="AK618">
        <f t="shared" si="11"/>
        <v>0</v>
      </c>
    </row>
    <row r="619" spans="37:37" x14ac:dyDescent="0.3">
      <c r="AK619">
        <f t="shared" si="11"/>
        <v>0</v>
      </c>
    </row>
    <row r="620" spans="37:37" x14ac:dyDescent="0.3">
      <c r="AK620">
        <f t="shared" si="11"/>
        <v>0</v>
      </c>
    </row>
    <row r="621" spans="37:37" x14ac:dyDescent="0.3">
      <c r="AK621">
        <f t="shared" si="11"/>
        <v>0</v>
      </c>
    </row>
    <row r="622" spans="37:37" x14ac:dyDescent="0.3">
      <c r="AK622">
        <f t="shared" si="11"/>
        <v>0</v>
      </c>
    </row>
    <row r="623" spans="37:37" x14ac:dyDescent="0.3">
      <c r="AK623">
        <f t="shared" si="11"/>
        <v>0</v>
      </c>
    </row>
    <row r="624" spans="37:37" x14ac:dyDescent="0.3">
      <c r="AK624">
        <f t="shared" si="11"/>
        <v>0</v>
      </c>
    </row>
    <row r="625" spans="37:37" x14ac:dyDescent="0.3">
      <c r="AK625">
        <f t="shared" si="11"/>
        <v>0</v>
      </c>
    </row>
    <row r="626" spans="37:37" x14ac:dyDescent="0.3">
      <c r="AK626">
        <f t="shared" si="11"/>
        <v>0</v>
      </c>
    </row>
    <row r="627" spans="37:37" x14ac:dyDescent="0.3">
      <c r="AK627">
        <f t="shared" si="11"/>
        <v>0</v>
      </c>
    </row>
    <row r="628" spans="37:37" x14ac:dyDescent="0.3">
      <c r="AK628">
        <f t="shared" si="11"/>
        <v>0</v>
      </c>
    </row>
    <row r="629" spans="37:37" x14ac:dyDescent="0.3">
      <c r="AK629">
        <f t="shared" si="11"/>
        <v>0</v>
      </c>
    </row>
    <row r="630" spans="37:37" x14ac:dyDescent="0.3">
      <c r="AK630">
        <f t="shared" si="11"/>
        <v>0</v>
      </c>
    </row>
    <row r="631" spans="37:37" x14ac:dyDescent="0.3">
      <c r="AK631">
        <f t="shared" si="11"/>
        <v>0</v>
      </c>
    </row>
    <row r="632" spans="37:37" x14ac:dyDescent="0.3">
      <c r="AK632">
        <f t="shared" si="11"/>
        <v>0</v>
      </c>
    </row>
    <row r="633" spans="37:37" x14ac:dyDescent="0.3">
      <c r="AK633">
        <f t="shared" si="11"/>
        <v>0</v>
      </c>
    </row>
    <row r="634" spans="37:37" x14ac:dyDescent="0.3">
      <c r="AK634">
        <f t="shared" si="11"/>
        <v>0</v>
      </c>
    </row>
    <row r="635" spans="37:37" x14ac:dyDescent="0.3">
      <c r="AK635">
        <f t="shared" si="11"/>
        <v>0</v>
      </c>
    </row>
    <row r="636" spans="37:37" x14ac:dyDescent="0.3">
      <c r="AK636">
        <f t="shared" si="11"/>
        <v>0</v>
      </c>
    </row>
    <row r="637" spans="37:37" x14ac:dyDescent="0.3">
      <c r="AK637">
        <f t="shared" si="11"/>
        <v>0</v>
      </c>
    </row>
    <row r="638" spans="37:37" x14ac:dyDescent="0.3">
      <c r="AK638">
        <f t="shared" si="11"/>
        <v>0</v>
      </c>
    </row>
    <row r="639" spans="37:37" x14ac:dyDescent="0.3">
      <c r="AK639">
        <f t="shared" si="11"/>
        <v>0</v>
      </c>
    </row>
    <row r="640" spans="37:37" x14ac:dyDescent="0.3">
      <c r="AK640">
        <f t="shared" si="11"/>
        <v>0</v>
      </c>
    </row>
    <row r="641" spans="37:37" x14ac:dyDescent="0.3">
      <c r="AK641">
        <f t="shared" si="11"/>
        <v>0</v>
      </c>
    </row>
    <row r="642" spans="37:37" x14ac:dyDescent="0.3">
      <c r="AK642">
        <f t="shared" si="11"/>
        <v>0</v>
      </c>
    </row>
    <row r="643" spans="37:37" x14ac:dyDescent="0.3">
      <c r="AK643">
        <f t="shared" si="11"/>
        <v>0</v>
      </c>
    </row>
    <row r="644" spans="37:37" x14ac:dyDescent="0.3">
      <c r="AK644">
        <f t="shared" si="11"/>
        <v>0</v>
      </c>
    </row>
    <row r="645" spans="37:37" x14ac:dyDescent="0.3">
      <c r="AK645">
        <f t="shared" si="11"/>
        <v>0</v>
      </c>
    </row>
    <row r="646" spans="37:37" x14ac:dyDescent="0.3">
      <c r="AK646">
        <f t="shared" si="11"/>
        <v>0</v>
      </c>
    </row>
    <row r="647" spans="37:37" x14ac:dyDescent="0.3">
      <c r="AK647">
        <f t="shared" si="11"/>
        <v>0</v>
      </c>
    </row>
    <row r="648" spans="37:37" x14ac:dyDescent="0.3">
      <c r="AK648">
        <f t="shared" si="11"/>
        <v>0</v>
      </c>
    </row>
    <row r="649" spans="37:37" x14ac:dyDescent="0.3">
      <c r="AK649">
        <f t="shared" si="11"/>
        <v>0</v>
      </c>
    </row>
    <row r="650" spans="37:37" x14ac:dyDescent="0.3">
      <c r="AK650">
        <f t="shared" si="11"/>
        <v>0</v>
      </c>
    </row>
    <row r="651" spans="37:37" x14ac:dyDescent="0.3">
      <c r="AK651">
        <f t="shared" si="11"/>
        <v>0</v>
      </c>
    </row>
    <row r="652" spans="37:37" x14ac:dyDescent="0.3">
      <c r="AK652">
        <f t="shared" si="11"/>
        <v>0</v>
      </c>
    </row>
    <row r="653" spans="37:37" x14ac:dyDescent="0.3">
      <c r="AK653">
        <f t="shared" si="11"/>
        <v>0</v>
      </c>
    </row>
    <row r="654" spans="37:37" x14ac:dyDescent="0.3">
      <c r="AK654">
        <f t="shared" si="11"/>
        <v>0</v>
      </c>
    </row>
    <row r="655" spans="37:37" x14ac:dyDescent="0.3">
      <c r="AK655">
        <f t="shared" si="11"/>
        <v>0</v>
      </c>
    </row>
    <row r="656" spans="37:37" x14ac:dyDescent="0.3">
      <c r="AK656">
        <f t="shared" si="11"/>
        <v>0</v>
      </c>
    </row>
    <row r="657" spans="37:37" x14ac:dyDescent="0.3">
      <c r="AK657">
        <f t="shared" si="11"/>
        <v>0</v>
      </c>
    </row>
    <row r="658" spans="37:37" x14ac:dyDescent="0.3">
      <c r="AK658">
        <f t="shared" si="11"/>
        <v>0</v>
      </c>
    </row>
    <row r="659" spans="37:37" x14ac:dyDescent="0.3">
      <c r="AK659">
        <f t="shared" si="11"/>
        <v>0</v>
      </c>
    </row>
    <row r="668" spans="37:37" x14ac:dyDescent="0.3">
      <c r="AK668">
        <f>SUM(AK1:AK660)</f>
        <v>6530599.2277818825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B1CB-26CE-4095-8697-C32003174D0C}">
  <dimension ref="A1:P23"/>
  <sheetViews>
    <sheetView tabSelected="1" workbookViewId="0">
      <selection activeCell="A29" sqref="A29"/>
    </sheetView>
  </sheetViews>
  <sheetFormatPr defaultRowHeight="14.4" x14ac:dyDescent="0.3"/>
  <cols>
    <col min="1" max="1" width="12.5546875" bestFit="1" customWidth="1"/>
    <col min="2" max="2" width="12.21875" bestFit="1" customWidth="1"/>
    <col min="3" max="3" width="19.77734375" bestFit="1" customWidth="1"/>
    <col min="4" max="4" width="11.6640625" bestFit="1" customWidth="1"/>
    <col min="5" max="5" width="14.21875" bestFit="1" customWidth="1"/>
    <col min="6" max="6" width="20.5546875" bestFit="1" customWidth="1"/>
    <col min="7" max="7" width="12.44140625" bestFit="1" customWidth="1"/>
    <col min="8" max="8" width="12.109375" bestFit="1" customWidth="1"/>
    <col min="9" max="9" width="14.44140625" bestFit="1" customWidth="1"/>
    <col min="10" max="10" width="15" bestFit="1" customWidth="1"/>
    <col min="11" max="11" width="12.6640625" bestFit="1" customWidth="1"/>
    <col min="12" max="12" width="14.77734375" bestFit="1" customWidth="1"/>
    <col min="13" max="13" width="15.21875" bestFit="1" customWidth="1"/>
    <col min="14" max="14" width="15.44140625" bestFit="1" customWidth="1"/>
    <col min="15" max="15" width="15.88671875" bestFit="1" customWidth="1"/>
    <col min="16" max="16" width="22.5546875" bestFit="1" customWidth="1"/>
  </cols>
  <sheetData>
    <row r="1" spans="1:16" x14ac:dyDescent="0.3">
      <c r="A1" s="5" t="s">
        <v>47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</row>
    <row r="2" spans="1:16" x14ac:dyDescent="0.3">
      <c r="A2" s="6" t="s">
        <v>115</v>
      </c>
      <c r="B2" s="18">
        <v>59298</v>
      </c>
      <c r="C2" s="18">
        <v>44456</v>
      </c>
      <c r="D2" s="7">
        <v>3025681</v>
      </c>
      <c r="E2" s="7">
        <v>77653</v>
      </c>
      <c r="F2" s="7">
        <v>586934</v>
      </c>
      <c r="G2" s="7">
        <v>70377</v>
      </c>
      <c r="H2" s="7">
        <v>173941</v>
      </c>
      <c r="I2" s="7">
        <v>239747.19778188539</v>
      </c>
      <c r="J2" s="7">
        <v>41970</v>
      </c>
      <c r="K2" s="7">
        <v>654403</v>
      </c>
      <c r="L2" s="7">
        <v>2587.4100000000003</v>
      </c>
      <c r="M2" s="7">
        <v>22224.1</v>
      </c>
      <c r="N2" s="7">
        <v>237660</v>
      </c>
      <c r="O2" s="7">
        <v>64879</v>
      </c>
      <c r="P2" s="7">
        <v>59043</v>
      </c>
    </row>
    <row r="3" spans="1:16" x14ac:dyDescent="0.3">
      <c r="A3" s="17" t="s">
        <v>49</v>
      </c>
      <c r="B3" s="18">
        <v>4820</v>
      </c>
      <c r="C3" s="18">
        <v>1626</v>
      </c>
      <c r="D3" s="7">
        <v>354346</v>
      </c>
      <c r="E3" s="7">
        <v>2916</v>
      </c>
      <c r="F3" s="7">
        <v>17803</v>
      </c>
      <c r="G3" s="7">
        <v>7187</v>
      </c>
      <c r="H3" s="7">
        <v>35602</v>
      </c>
      <c r="I3" s="7">
        <v>31356</v>
      </c>
      <c r="J3" s="7">
        <v>2442</v>
      </c>
      <c r="K3" s="7">
        <v>18364</v>
      </c>
      <c r="L3" s="7">
        <v>54.39</v>
      </c>
      <c r="M3" s="7">
        <v>1049.1799999999998</v>
      </c>
      <c r="N3" s="7">
        <v>18138</v>
      </c>
      <c r="O3" s="7">
        <v>2018</v>
      </c>
      <c r="P3" s="7">
        <v>3388</v>
      </c>
    </row>
    <row r="4" spans="1:16" x14ac:dyDescent="0.3">
      <c r="A4" s="17" t="s">
        <v>50</v>
      </c>
      <c r="B4" s="18">
        <v>4145</v>
      </c>
      <c r="C4" s="18">
        <v>7143</v>
      </c>
      <c r="D4" s="7">
        <v>394232</v>
      </c>
      <c r="E4" s="7">
        <v>18425</v>
      </c>
      <c r="F4" s="7">
        <v>24324</v>
      </c>
      <c r="G4" s="7">
        <v>6512</v>
      </c>
      <c r="H4" s="7">
        <v>12392</v>
      </c>
      <c r="I4" s="7">
        <v>33609</v>
      </c>
      <c r="J4" s="7">
        <v>1506</v>
      </c>
      <c r="K4" s="7">
        <v>22648</v>
      </c>
      <c r="L4" s="7">
        <v>157.98999999999998</v>
      </c>
      <c r="M4" s="7">
        <v>2885.26</v>
      </c>
      <c r="N4" s="7">
        <v>21116</v>
      </c>
      <c r="O4" s="7">
        <v>2398</v>
      </c>
      <c r="P4" s="7">
        <v>6315</v>
      </c>
    </row>
    <row r="5" spans="1:16" x14ac:dyDescent="0.3">
      <c r="A5" s="17" t="s">
        <v>51</v>
      </c>
      <c r="B5" s="18">
        <v>3553</v>
      </c>
      <c r="C5" s="18">
        <v>6567</v>
      </c>
      <c r="D5" s="7">
        <v>446044</v>
      </c>
      <c r="E5" s="7">
        <v>5551</v>
      </c>
      <c r="F5" s="7">
        <v>36474</v>
      </c>
      <c r="G5" s="7">
        <v>4969</v>
      </c>
      <c r="H5" s="7">
        <v>9008</v>
      </c>
      <c r="I5" s="7">
        <v>14500</v>
      </c>
      <c r="J5" s="7">
        <v>310</v>
      </c>
      <c r="K5" s="7">
        <v>28233</v>
      </c>
      <c r="L5" s="7">
        <v>108.78000000000003</v>
      </c>
      <c r="M5" s="7">
        <v>1950.27</v>
      </c>
      <c r="N5" s="7">
        <v>11295</v>
      </c>
      <c r="O5" s="7">
        <v>2225</v>
      </c>
      <c r="P5" s="7">
        <v>3522</v>
      </c>
    </row>
    <row r="6" spans="1:16" x14ac:dyDescent="0.3">
      <c r="A6" s="17" t="s">
        <v>52</v>
      </c>
      <c r="B6" s="18">
        <v>9453</v>
      </c>
      <c r="C6" s="18">
        <v>10244</v>
      </c>
      <c r="D6" s="7">
        <v>324754</v>
      </c>
      <c r="E6" s="7">
        <v>5803</v>
      </c>
      <c r="F6" s="7">
        <v>56452</v>
      </c>
      <c r="G6" s="7">
        <v>16951</v>
      </c>
      <c r="H6" s="7">
        <v>26104</v>
      </c>
      <c r="I6" s="7">
        <v>27790.197781885399</v>
      </c>
      <c r="J6" s="7">
        <v>753</v>
      </c>
      <c r="K6" s="7">
        <v>45777</v>
      </c>
      <c r="L6" s="7">
        <v>113.96000000000004</v>
      </c>
      <c r="M6" s="7">
        <v>1610.9799999999998</v>
      </c>
      <c r="N6" s="7">
        <v>27084</v>
      </c>
      <c r="O6" s="7">
        <v>4624</v>
      </c>
      <c r="P6" s="7">
        <v>10660</v>
      </c>
    </row>
    <row r="7" spans="1:16" x14ac:dyDescent="0.3">
      <c r="A7" s="17" t="s">
        <v>53</v>
      </c>
      <c r="B7" s="18">
        <v>6633</v>
      </c>
      <c r="C7" s="18">
        <v>8972</v>
      </c>
      <c r="D7" s="7">
        <v>330430</v>
      </c>
      <c r="E7" s="7">
        <v>1241</v>
      </c>
      <c r="F7" s="7">
        <v>59808</v>
      </c>
      <c r="G7" s="7">
        <v>3343</v>
      </c>
      <c r="H7" s="7">
        <v>30176</v>
      </c>
      <c r="I7" s="7">
        <v>30406</v>
      </c>
      <c r="J7" s="7">
        <v>4313</v>
      </c>
      <c r="K7" s="7">
        <v>75821</v>
      </c>
      <c r="L7" s="7">
        <v>370.36999999999995</v>
      </c>
      <c r="M7" s="7">
        <v>3032.8899999999994</v>
      </c>
      <c r="N7" s="7">
        <v>32150</v>
      </c>
      <c r="O7" s="7">
        <v>5967</v>
      </c>
      <c r="P7" s="7">
        <v>8490</v>
      </c>
    </row>
    <row r="8" spans="1:16" x14ac:dyDescent="0.3">
      <c r="A8" s="17" t="s">
        <v>117</v>
      </c>
      <c r="B8" s="18">
        <v>4522</v>
      </c>
      <c r="C8" s="18">
        <v>56</v>
      </c>
      <c r="D8" s="7">
        <v>49633</v>
      </c>
      <c r="E8" s="7">
        <v>244</v>
      </c>
      <c r="F8" s="7">
        <v>25848</v>
      </c>
      <c r="G8" s="7">
        <v>4094</v>
      </c>
      <c r="H8" s="7">
        <v>1668</v>
      </c>
      <c r="I8" s="7">
        <v>5881</v>
      </c>
      <c r="J8" s="7">
        <v>4</v>
      </c>
      <c r="K8" s="7">
        <v>44302</v>
      </c>
      <c r="L8" s="7">
        <v>352.24</v>
      </c>
      <c r="M8" s="7">
        <v>802.9</v>
      </c>
      <c r="N8" s="7">
        <v>3494</v>
      </c>
      <c r="O8" s="7">
        <v>961</v>
      </c>
      <c r="P8" s="7">
        <v>526</v>
      </c>
    </row>
    <row r="9" spans="1:16" x14ac:dyDescent="0.3">
      <c r="A9" s="17" t="s">
        <v>118</v>
      </c>
      <c r="B9" s="18">
        <v>1014</v>
      </c>
      <c r="C9" s="18">
        <v>8</v>
      </c>
      <c r="D9" s="7">
        <v>32162</v>
      </c>
      <c r="E9" s="7">
        <v>155</v>
      </c>
      <c r="F9" s="7">
        <v>22126</v>
      </c>
      <c r="G9" s="7">
        <v>1039</v>
      </c>
      <c r="H9" s="7">
        <v>28</v>
      </c>
      <c r="I9" s="7">
        <v>1271</v>
      </c>
      <c r="J9" s="7">
        <v>1</v>
      </c>
      <c r="K9" s="7">
        <v>7704</v>
      </c>
      <c r="L9" s="7">
        <v>0</v>
      </c>
      <c r="M9" s="7">
        <v>0</v>
      </c>
      <c r="N9" s="7">
        <v>1544</v>
      </c>
      <c r="O9" s="7">
        <v>495</v>
      </c>
      <c r="P9" s="7">
        <v>976</v>
      </c>
    </row>
    <row r="10" spans="1:16" x14ac:dyDescent="0.3">
      <c r="A10" s="17" t="s">
        <v>119</v>
      </c>
      <c r="B10" s="18">
        <v>1190</v>
      </c>
      <c r="C10" s="18">
        <v>1654</v>
      </c>
      <c r="D10" s="7">
        <v>162767</v>
      </c>
      <c r="E10" s="7">
        <v>5283</v>
      </c>
      <c r="F10" s="7">
        <v>40279</v>
      </c>
      <c r="G10" s="7">
        <v>2377</v>
      </c>
      <c r="H10" s="7">
        <v>11548</v>
      </c>
      <c r="I10" s="7">
        <v>15667</v>
      </c>
      <c r="J10" s="7">
        <v>12306</v>
      </c>
      <c r="K10" s="7">
        <v>64538</v>
      </c>
      <c r="L10" s="7">
        <v>75.109999999999985</v>
      </c>
      <c r="M10" s="7">
        <v>1605.8</v>
      </c>
      <c r="N10" s="7">
        <v>19814</v>
      </c>
      <c r="O10" s="7">
        <v>6374</v>
      </c>
      <c r="P10" s="7">
        <v>4704</v>
      </c>
    </row>
    <row r="11" spans="1:16" x14ac:dyDescent="0.3">
      <c r="A11" s="17" t="s">
        <v>120</v>
      </c>
      <c r="B11" s="18">
        <v>1731</v>
      </c>
      <c r="C11" s="18">
        <v>1263</v>
      </c>
      <c r="D11" s="7">
        <v>122660</v>
      </c>
      <c r="E11" s="7">
        <v>18015</v>
      </c>
      <c r="F11" s="7">
        <v>28919</v>
      </c>
      <c r="G11" s="7">
        <v>4207</v>
      </c>
      <c r="H11" s="7">
        <v>12664</v>
      </c>
      <c r="I11" s="7">
        <v>10432</v>
      </c>
      <c r="J11" s="7">
        <v>4081</v>
      </c>
      <c r="K11" s="7">
        <v>74226</v>
      </c>
      <c r="L11" s="7">
        <v>150.22</v>
      </c>
      <c r="M11" s="7">
        <v>2797.2000000000003</v>
      </c>
      <c r="N11" s="7">
        <v>29256</v>
      </c>
      <c r="O11" s="7">
        <v>5641</v>
      </c>
      <c r="P11" s="7">
        <v>4385</v>
      </c>
    </row>
    <row r="12" spans="1:16" x14ac:dyDescent="0.3">
      <c r="A12" s="17" t="s">
        <v>121</v>
      </c>
      <c r="B12" s="18">
        <v>4815</v>
      </c>
      <c r="C12" s="18">
        <v>2426</v>
      </c>
      <c r="D12" s="7">
        <v>146228</v>
      </c>
      <c r="E12" s="7">
        <v>756</v>
      </c>
      <c r="F12" s="7">
        <v>72154</v>
      </c>
      <c r="G12" s="7">
        <v>2010</v>
      </c>
      <c r="H12" s="7">
        <v>17842</v>
      </c>
      <c r="I12" s="7">
        <v>23686</v>
      </c>
      <c r="J12" s="7">
        <v>8582</v>
      </c>
      <c r="K12" s="7">
        <v>90867</v>
      </c>
      <c r="L12" s="7">
        <v>955.70999999999992</v>
      </c>
      <c r="M12" s="7">
        <v>4762.0899999999992</v>
      </c>
      <c r="N12" s="7">
        <v>29864</v>
      </c>
      <c r="O12" s="7">
        <v>16597</v>
      </c>
      <c r="P12" s="7">
        <v>6009</v>
      </c>
    </row>
    <row r="13" spans="1:16" x14ac:dyDescent="0.3">
      <c r="A13" s="17" t="s">
        <v>122</v>
      </c>
      <c r="B13" s="18">
        <v>7475</v>
      </c>
      <c r="C13" s="18">
        <v>1300</v>
      </c>
      <c r="D13" s="7">
        <v>275857</v>
      </c>
      <c r="E13" s="7">
        <v>13501</v>
      </c>
      <c r="F13" s="7">
        <v>100550</v>
      </c>
      <c r="G13" s="7">
        <v>8573</v>
      </c>
      <c r="H13" s="7">
        <v>6453</v>
      </c>
      <c r="I13" s="7">
        <v>14896</v>
      </c>
      <c r="J13" s="7">
        <v>1649</v>
      </c>
      <c r="K13" s="7">
        <v>94376</v>
      </c>
      <c r="L13" s="7">
        <v>75.11</v>
      </c>
      <c r="M13" s="7">
        <v>404.03999999999996</v>
      </c>
      <c r="N13" s="7">
        <v>11273</v>
      </c>
      <c r="O13" s="7">
        <v>5087</v>
      </c>
      <c r="P13" s="7">
        <v>1560</v>
      </c>
    </row>
    <row r="14" spans="1:16" x14ac:dyDescent="0.3">
      <c r="A14" s="17" t="s">
        <v>123</v>
      </c>
      <c r="B14" s="18">
        <v>9947</v>
      </c>
      <c r="C14" s="18">
        <v>3197</v>
      </c>
      <c r="D14" s="7">
        <v>386568</v>
      </c>
      <c r="E14" s="7">
        <v>5763</v>
      </c>
      <c r="F14" s="7">
        <v>102197</v>
      </c>
      <c r="G14" s="7">
        <v>9115</v>
      </c>
      <c r="H14" s="7">
        <v>10456</v>
      </c>
      <c r="I14" s="7">
        <v>30253</v>
      </c>
      <c r="J14" s="7">
        <v>6023</v>
      </c>
      <c r="K14" s="7">
        <v>87547</v>
      </c>
      <c r="L14" s="7">
        <v>173.53000000000003</v>
      </c>
      <c r="M14" s="7">
        <v>1323.49</v>
      </c>
      <c r="N14" s="7">
        <v>32632</v>
      </c>
      <c r="O14" s="7">
        <v>12492</v>
      </c>
      <c r="P14" s="7">
        <v>8508</v>
      </c>
    </row>
    <row r="15" spans="1:16" x14ac:dyDescent="0.3">
      <c r="A15" s="6" t="s">
        <v>116</v>
      </c>
      <c r="B15" s="18">
        <v>29985</v>
      </c>
      <c r="C15" s="18">
        <v>3743</v>
      </c>
      <c r="D15" s="7">
        <v>568408</v>
      </c>
      <c r="E15" s="7">
        <v>3432</v>
      </c>
      <c r="F15" s="7">
        <v>242988</v>
      </c>
      <c r="G15" s="7">
        <v>7801</v>
      </c>
      <c r="H15" s="7">
        <v>23423</v>
      </c>
      <c r="I15" s="7">
        <v>24823</v>
      </c>
      <c r="J15" s="7">
        <v>502</v>
      </c>
      <c r="K15" s="7">
        <v>132666</v>
      </c>
      <c r="L15" s="7">
        <v>0</v>
      </c>
      <c r="M15" s="7">
        <v>0</v>
      </c>
      <c r="N15" s="7">
        <v>19835</v>
      </c>
      <c r="O15" s="7">
        <v>5551</v>
      </c>
      <c r="P15" s="7">
        <v>6524</v>
      </c>
    </row>
    <row r="16" spans="1:16" x14ac:dyDescent="0.3">
      <c r="A16" s="17" t="s">
        <v>49</v>
      </c>
      <c r="B16" s="18">
        <v>2918</v>
      </c>
      <c r="C16" s="18">
        <v>298</v>
      </c>
      <c r="D16" s="7">
        <v>125918</v>
      </c>
      <c r="E16" s="7">
        <v>199</v>
      </c>
      <c r="F16" s="7">
        <v>27721</v>
      </c>
      <c r="G16" s="7">
        <v>1751</v>
      </c>
      <c r="H16" s="7">
        <v>2124</v>
      </c>
      <c r="I16" s="7">
        <v>5069</v>
      </c>
      <c r="J16" s="7">
        <v>166</v>
      </c>
      <c r="K16" s="7">
        <v>26766</v>
      </c>
      <c r="L16" s="7">
        <v>0</v>
      </c>
      <c r="M16" s="7">
        <v>0</v>
      </c>
      <c r="N16" s="7">
        <v>3196</v>
      </c>
      <c r="O16" s="7">
        <v>1358</v>
      </c>
      <c r="P16" s="7">
        <v>683</v>
      </c>
    </row>
    <row r="17" spans="1:16" x14ac:dyDescent="0.3">
      <c r="A17" s="17" t="s">
        <v>50</v>
      </c>
      <c r="B17" s="18">
        <v>3289</v>
      </c>
      <c r="C17" s="18">
        <v>780</v>
      </c>
      <c r="D17" s="7">
        <v>97137</v>
      </c>
      <c r="E17" s="7">
        <v>516</v>
      </c>
      <c r="F17" s="7">
        <v>52850</v>
      </c>
      <c r="G17" s="7">
        <v>2536</v>
      </c>
      <c r="H17" s="7">
        <v>11556</v>
      </c>
      <c r="I17" s="7">
        <v>6253</v>
      </c>
      <c r="J17" s="7">
        <v>209</v>
      </c>
      <c r="K17" s="7">
        <v>47495</v>
      </c>
      <c r="L17" s="7">
        <v>0</v>
      </c>
      <c r="M17" s="7">
        <v>0</v>
      </c>
      <c r="N17" s="7">
        <v>4622</v>
      </c>
      <c r="O17" s="7">
        <v>1368</v>
      </c>
      <c r="P17" s="7">
        <v>2470</v>
      </c>
    </row>
    <row r="18" spans="1:16" x14ac:dyDescent="0.3">
      <c r="A18" s="17" t="s">
        <v>51</v>
      </c>
      <c r="B18" s="18">
        <v>5944</v>
      </c>
      <c r="C18" s="18">
        <v>493</v>
      </c>
      <c r="D18" s="7">
        <v>63375</v>
      </c>
      <c r="E18" s="7">
        <v>429</v>
      </c>
      <c r="F18" s="7">
        <v>61536</v>
      </c>
      <c r="G18" s="7">
        <v>1617</v>
      </c>
      <c r="H18" s="7">
        <v>4168</v>
      </c>
      <c r="I18" s="7">
        <v>2343</v>
      </c>
      <c r="J18" s="7">
        <v>3</v>
      </c>
      <c r="K18" s="7">
        <v>11346</v>
      </c>
      <c r="L18" s="7">
        <v>0</v>
      </c>
      <c r="M18" s="7">
        <v>0</v>
      </c>
      <c r="N18" s="7">
        <v>2881</v>
      </c>
      <c r="O18" s="7">
        <v>283</v>
      </c>
      <c r="P18" s="7">
        <v>895</v>
      </c>
    </row>
    <row r="19" spans="1:16" x14ac:dyDescent="0.3">
      <c r="A19" s="17" t="s">
        <v>52</v>
      </c>
      <c r="B19" s="18">
        <v>5600</v>
      </c>
      <c r="C19" s="18">
        <v>1158</v>
      </c>
      <c r="D19" s="7">
        <v>81610</v>
      </c>
      <c r="E19" s="7">
        <v>386</v>
      </c>
      <c r="F19" s="7">
        <v>64153</v>
      </c>
      <c r="G19" s="7">
        <v>536</v>
      </c>
      <c r="H19" s="7">
        <v>2800</v>
      </c>
      <c r="I19" s="7">
        <v>1945</v>
      </c>
      <c r="J19" s="7">
        <v>5</v>
      </c>
      <c r="K19" s="7">
        <v>3557</v>
      </c>
      <c r="L19" s="7">
        <v>0</v>
      </c>
      <c r="M19" s="7">
        <v>0</v>
      </c>
      <c r="N19" s="7">
        <v>3876</v>
      </c>
      <c r="O19" s="7">
        <v>341</v>
      </c>
      <c r="P19" s="7">
        <v>1386</v>
      </c>
    </row>
    <row r="20" spans="1:16" x14ac:dyDescent="0.3">
      <c r="A20" s="17" t="s">
        <v>53</v>
      </c>
      <c r="B20" s="18">
        <v>10581</v>
      </c>
      <c r="C20" s="18">
        <v>703</v>
      </c>
      <c r="D20" s="7">
        <v>166775</v>
      </c>
      <c r="E20" s="7">
        <v>1811</v>
      </c>
      <c r="F20" s="7">
        <v>36347</v>
      </c>
      <c r="G20" s="7">
        <v>1285</v>
      </c>
      <c r="H20" s="7">
        <v>1871</v>
      </c>
      <c r="I20" s="7">
        <v>6644</v>
      </c>
      <c r="J20" s="7">
        <v>1</v>
      </c>
      <c r="K20" s="7">
        <v>26727</v>
      </c>
      <c r="L20" s="7">
        <v>0</v>
      </c>
      <c r="M20" s="7">
        <v>0</v>
      </c>
      <c r="N20" s="7">
        <v>2395</v>
      </c>
      <c r="O20" s="7">
        <v>868</v>
      </c>
      <c r="P20" s="7">
        <v>715</v>
      </c>
    </row>
    <row r="21" spans="1:16" x14ac:dyDescent="0.3">
      <c r="A21" s="17" t="s">
        <v>117</v>
      </c>
      <c r="B21" s="18">
        <v>1621</v>
      </c>
      <c r="C21" s="18">
        <v>309</v>
      </c>
      <c r="D21" s="7">
        <v>22606</v>
      </c>
      <c r="E21" s="7">
        <v>77</v>
      </c>
      <c r="F21" s="7">
        <v>223</v>
      </c>
      <c r="G21" s="7">
        <v>62</v>
      </c>
      <c r="H21" s="7">
        <v>904</v>
      </c>
      <c r="I21" s="7">
        <v>1483</v>
      </c>
      <c r="J21" s="7">
        <v>111</v>
      </c>
      <c r="K21" s="7">
        <v>15775</v>
      </c>
      <c r="L21" s="7">
        <v>0</v>
      </c>
      <c r="M21" s="7">
        <v>0</v>
      </c>
      <c r="N21" s="7">
        <v>2203</v>
      </c>
      <c r="O21" s="7">
        <v>198</v>
      </c>
      <c r="P21" s="7">
        <v>307</v>
      </c>
    </row>
    <row r="22" spans="1:16" x14ac:dyDescent="0.3">
      <c r="A22" s="17" t="s">
        <v>121</v>
      </c>
      <c r="B22" s="18">
        <v>32</v>
      </c>
      <c r="C22" s="18">
        <v>2</v>
      </c>
      <c r="D22" s="7">
        <v>10987</v>
      </c>
      <c r="E22" s="7">
        <v>14</v>
      </c>
      <c r="F22" s="7">
        <v>158</v>
      </c>
      <c r="G22" s="7">
        <v>14</v>
      </c>
      <c r="H22" s="7">
        <v>0</v>
      </c>
      <c r="I22" s="7">
        <v>1086</v>
      </c>
      <c r="J22" s="7">
        <v>7</v>
      </c>
      <c r="K22" s="7">
        <v>1000</v>
      </c>
      <c r="L22" s="7">
        <v>0</v>
      </c>
      <c r="M22" s="7">
        <v>0</v>
      </c>
      <c r="N22" s="7">
        <v>662</v>
      </c>
      <c r="O22" s="7">
        <v>1135</v>
      </c>
      <c r="P22" s="7">
        <v>68</v>
      </c>
    </row>
    <row r="23" spans="1:16" x14ac:dyDescent="0.3">
      <c r="A23" s="6" t="s">
        <v>48</v>
      </c>
      <c r="B23" s="18">
        <v>89283</v>
      </c>
      <c r="C23" s="18">
        <v>48199</v>
      </c>
      <c r="D23" s="7">
        <v>3594089</v>
      </c>
      <c r="E23" s="7">
        <v>81085</v>
      </c>
      <c r="F23" s="7">
        <v>829922</v>
      </c>
      <c r="G23" s="7">
        <v>78178</v>
      </c>
      <c r="H23" s="7">
        <v>197364</v>
      </c>
      <c r="I23" s="7">
        <v>264570.19778188539</v>
      </c>
      <c r="J23" s="7">
        <v>42472</v>
      </c>
      <c r="K23" s="7">
        <v>787069</v>
      </c>
      <c r="L23" s="7">
        <v>2587.4100000000003</v>
      </c>
      <c r="M23" s="7">
        <v>22224.1</v>
      </c>
      <c r="N23" s="7">
        <v>257495</v>
      </c>
      <c r="O23" s="7">
        <v>70430</v>
      </c>
      <c r="P23" s="7">
        <v>65567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3CDE-9C1D-4301-BE42-252F89426C96}">
  <dimension ref="B2:C5"/>
  <sheetViews>
    <sheetView workbookViewId="0">
      <selection activeCell="B5" sqref="B5"/>
    </sheetView>
  </sheetViews>
  <sheetFormatPr defaultRowHeight="14.4" x14ac:dyDescent="0.3"/>
  <sheetData>
    <row r="2" spans="2:3" x14ac:dyDescent="0.3">
      <c r="B2" s="2"/>
      <c r="C2" t="s">
        <v>41</v>
      </c>
    </row>
    <row r="3" spans="2:3" x14ac:dyDescent="0.3">
      <c r="B3" s="3"/>
      <c r="C3" t="s">
        <v>42</v>
      </c>
    </row>
    <row r="4" spans="2:3" x14ac:dyDescent="0.3">
      <c r="B4" s="4"/>
      <c r="C4" t="s">
        <v>44</v>
      </c>
    </row>
    <row r="5" spans="2:3" x14ac:dyDescent="0.3">
      <c r="B5" s="13"/>
      <c r="C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TripReturns</vt:lpstr>
      <vt:lpstr>Pivot</vt:lpstr>
      <vt:lpstr>ErrorCodes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Attwood</dc:creator>
  <cp:lastModifiedBy>Colin Attwood</cp:lastModifiedBy>
  <dcterms:created xsi:type="dcterms:W3CDTF">2023-06-15T08:26:57Z</dcterms:created>
  <dcterms:modified xsi:type="dcterms:W3CDTF">2024-08-27T13:58:09Z</dcterms:modified>
</cp:coreProperties>
</file>